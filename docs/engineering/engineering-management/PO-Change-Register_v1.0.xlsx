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01_Change_Register" sheetId="2" state="visible" r:id="rId2"/>
    <sheet xmlns:r="http://schemas.openxmlformats.org/officeDocument/2006/relationships" name="02_Approvals" sheetId="3" state="visible" r:id="rId3"/>
    <sheet xmlns:r="http://schemas.openxmlformats.org/officeDocument/2006/relationships" name="03_Implementation_Log" sheetId="4" state="visible" r:id="rId4"/>
    <sheet xmlns:r="http://schemas.openxmlformats.org/officeDocument/2006/relationships" name="04_Post_Implementation_Review" sheetId="5" state="visible" r:id="rId5"/>
    <sheet xmlns:r="http://schemas.openxmlformats.org/officeDocument/2006/relationships" name="05_Reference_Data" sheetId="6" state="visible" r:id="rId6"/>
    <sheet xmlns:r="http://schemas.openxmlformats.org/officeDocument/2006/relationships" name="06_Revision_History" sheetId="7" state="visible" r:id="rId7"/>
    <sheet xmlns:r="http://schemas.openxmlformats.org/officeDocument/2006/relationships" name="07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'07_Dashboard'!E3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'07_Dashboard'!$D$4:$D$6</f>
            </numRef>
          </cat>
          <val>
            <numRef>
              <f>'07_Dashboard'!$E$4:$E$6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'07_Dashboard'!B3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'07_Dashboard'!$A$4:$A$6</f>
            </numRef>
          </cat>
          <val>
            <numRef>
              <f>'07_Dashboard'!$B$4:$B$6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angeRegister" displayName="ChangeRegister" ref="A3:O7" headerRowCount="1">
  <autoFilter ref="A3:O7"/>
  <tableColumns count="15">
    <tableColumn id="1" name="Change ID"/>
    <tableColumn id="2" name="Title"/>
    <tableColumn id="3" name="Linked CI ID"/>
    <tableColumn id="4" name="Asset ID"/>
    <tableColumn id="5" name="Related Maintenance ID"/>
    <tableColumn id="6" name="Change Type"/>
    <tableColumn id="7" name="Priority"/>
    <tableColumn id="8" name="Risk"/>
    <tableColumn id="9" name="Requested By"/>
    <tableColumn id="10" name="Scheduled Date"/>
    <tableColumn id="11" name="Implementation Date"/>
    <tableColumn id="12" name="Status"/>
    <tableColumn id="13" name="Rollback Plan"/>
    <tableColumn id="14" name="Evidence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Orion - Change Register</t>
        </is>
      </c>
    </row>
    <row r="3">
      <c r="A3" t="inlineStr">
        <is>
          <t>Workbook</t>
        </is>
      </c>
      <c r="B3" t="inlineStr">
        <is>
          <t>PO-Change-Register_v1.0.xlsx</t>
        </is>
      </c>
    </row>
    <row r="4">
      <c r="A4" t="inlineStr">
        <is>
          <t>Document ID</t>
        </is>
      </c>
      <c r="B4" t="inlineStr">
        <is>
          <t>EM-006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Sprint</t>
        </is>
      </c>
      <c r="B6" t="inlineStr">
        <is>
          <t>4</t>
        </is>
      </c>
    </row>
    <row r="7">
      <c r="A7" t="inlineStr">
        <is>
          <t>Engineering Session</t>
        </is>
      </c>
      <c r="B7" t="inlineStr">
        <is>
          <t>017</t>
        </is>
      </c>
    </row>
    <row r="8">
      <c r="A8" t="inlineStr">
        <is>
          <t>Status</t>
        </is>
      </c>
      <c r="B8" t="inlineStr">
        <is>
          <t>Baselined</t>
        </is>
      </c>
    </row>
    <row r="9">
      <c r="A9" t="inlineStr">
        <is>
          <t>Purpose</t>
        </is>
      </c>
      <c r="B9" t="inlineStr">
        <is>
          <t>Track and govern infrastructure changes across Project Orion.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Change Register</t>
        </is>
      </c>
    </row>
    <row r="3">
      <c r="A3" s="2" t="inlineStr">
        <is>
          <t>Change ID</t>
        </is>
      </c>
      <c r="B3" s="2" t="inlineStr">
        <is>
          <t>Title</t>
        </is>
      </c>
      <c r="C3" s="2" t="inlineStr">
        <is>
          <t>Linked CI ID</t>
        </is>
      </c>
      <c r="D3" s="2" t="inlineStr">
        <is>
          <t>Asset ID</t>
        </is>
      </c>
      <c r="E3" s="2" t="inlineStr">
        <is>
          <t>Related Maintenance ID</t>
        </is>
      </c>
      <c r="F3" s="2" t="inlineStr">
        <is>
          <t>Change Type</t>
        </is>
      </c>
      <c r="G3" s="2" t="inlineStr">
        <is>
          <t>Priority</t>
        </is>
      </c>
      <c r="H3" s="2" t="inlineStr">
        <is>
          <t>Risk</t>
        </is>
      </c>
      <c r="I3" s="2" t="inlineStr">
        <is>
          <t>Requested By</t>
        </is>
      </c>
      <c r="J3" s="2" t="inlineStr">
        <is>
          <t>Scheduled Date</t>
        </is>
      </c>
      <c r="K3" s="2" t="inlineStr">
        <is>
          <t>Implementation Date</t>
        </is>
      </c>
      <c r="L3" s="2" t="inlineStr">
        <is>
          <t>Status</t>
        </is>
      </c>
      <c r="M3" s="2" t="inlineStr">
        <is>
          <t>Rollback Plan</t>
        </is>
      </c>
      <c r="N3" s="2" t="inlineStr">
        <is>
          <t>Evidence</t>
        </is>
      </c>
      <c r="O3" s="2" t="inlineStr">
        <is>
          <t>Notes</t>
        </is>
      </c>
    </row>
    <row r="4">
      <c r="A4" t="inlineStr">
        <is>
          <t>CHG-001</t>
        </is>
      </c>
      <c r="B4" t="inlineStr">
        <is>
          <t>Upgrade Flint 2 Firmware</t>
        </is>
      </c>
      <c r="C4" t="inlineStr">
        <is>
          <t>CI-003</t>
        </is>
      </c>
      <c r="D4" t="inlineStr">
        <is>
          <t>AST-003</t>
        </is>
      </c>
      <c r="E4" t="inlineStr">
        <is>
          <t>MNT-001</t>
        </is>
      </c>
      <c r="F4" t="inlineStr">
        <is>
          <t>Firmware</t>
        </is>
      </c>
      <c r="G4" t="inlineStr">
        <is>
          <t>High</t>
        </is>
      </c>
      <c r="H4" t="inlineStr">
        <is>
          <t>Medium</t>
        </is>
      </c>
      <c r="I4" t="inlineStr">
        <is>
          <t>George Jordan</t>
        </is>
      </c>
      <c r="J4" t="inlineStr">
        <is>
          <t>2026-10-30</t>
        </is>
      </c>
      <c r="K4" t="inlineStr"/>
      <c r="L4" t="inlineStr">
        <is>
          <t>Planned</t>
        </is>
      </c>
      <c r="M4" t="inlineStr">
        <is>
          <t>Restore previous firmware</t>
        </is>
      </c>
      <c r="N4" t="inlineStr">
        <is>
          <t>FW log</t>
        </is>
      </c>
      <c r="O4" t="inlineStr"/>
    </row>
    <row r="5">
      <c r="A5" t="inlineStr">
        <is>
          <t>CHG-002</t>
        </is>
      </c>
      <c r="B5" t="inlineStr">
        <is>
          <t>Patch Windows 11 Host</t>
        </is>
      </c>
      <c r="C5" t="inlineStr">
        <is>
          <t>CI-004</t>
        </is>
      </c>
      <c r="D5" t="inlineStr">
        <is>
          <t>AST-004</t>
        </is>
      </c>
      <c r="E5" t="inlineStr">
        <is>
          <t>MNT-002</t>
        </is>
      </c>
      <c r="F5" t="inlineStr">
        <is>
          <t>OS Patch</t>
        </is>
      </c>
      <c r="G5" t="inlineStr">
        <is>
          <t>High</t>
        </is>
      </c>
      <c r="H5" t="inlineStr">
        <is>
          <t>Medium</t>
        </is>
      </c>
      <c r="I5" t="inlineStr">
        <is>
          <t>George Jordan</t>
        </is>
      </c>
      <c r="J5" t="inlineStr">
        <is>
          <t>2026-08-15</t>
        </is>
      </c>
      <c r="K5" t="inlineStr"/>
      <c r="L5" t="inlineStr">
        <is>
          <t>Planned</t>
        </is>
      </c>
      <c r="M5" t="inlineStr">
        <is>
          <t>System restore point</t>
        </is>
      </c>
      <c r="N5" t="inlineStr">
        <is>
          <t>Patch report</t>
        </is>
      </c>
      <c r="O5" t="inlineStr"/>
    </row>
    <row r="6">
      <c r="A6" t="inlineStr">
        <is>
          <t>CHG-003</t>
        </is>
      </c>
      <c r="B6" t="inlineStr">
        <is>
          <t>Upgrade Home Assistant</t>
        </is>
      </c>
      <c r="C6" t="inlineStr">
        <is>
          <t>CI-006</t>
        </is>
      </c>
      <c r="D6" t="inlineStr"/>
      <c r="E6" t="inlineStr">
        <is>
          <t>MNT-003</t>
        </is>
      </c>
      <c r="F6" t="inlineStr">
        <is>
          <t>Application</t>
        </is>
      </c>
      <c r="G6" t="inlineStr">
        <is>
          <t>High</t>
        </is>
      </c>
      <c r="H6" t="inlineStr">
        <is>
          <t>Low</t>
        </is>
      </c>
      <c r="I6" t="inlineStr">
        <is>
          <t>George Jordan</t>
        </is>
      </c>
      <c r="J6" t="inlineStr">
        <is>
          <t>2026-08-20</t>
        </is>
      </c>
      <c r="K6" t="inlineStr"/>
      <c r="L6" t="inlineStr">
        <is>
          <t>Planned</t>
        </is>
      </c>
      <c r="M6" t="inlineStr">
        <is>
          <t>HA backup snapshot</t>
        </is>
      </c>
      <c r="N6" t="inlineStr">
        <is>
          <t>Update log</t>
        </is>
      </c>
      <c r="O6" t="inlineStr"/>
    </row>
    <row r="7">
      <c r="A7" t="inlineStr">
        <is>
          <t>CHG-004</t>
        </is>
      </c>
      <c r="B7" t="inlineStr">
        <is>
          <t>Deploy Doorbell</t>
        </is>
      </c>
      <c r="C7" t="inlineStr">
        <is>
          <t>CI-007</t>
        </is>
      </c>
      <c r="D7" t="inlineStr">
        <is>
          <t>AST-006</t>
        </is>
      </c>
      <c r="E7" t="inlineStr">
        <is>
          <t>MNT-004</t>
        </is>
      </c>
      <c r="F7" t="inlineStr">
        <is>
          <t>Installation</t>
        </is>
      </c>
      <c r="G7" t="inlineStr">
        <is>
          <t>Medium</t>
        </is>
      </c>
      <c r="H7" t="inlineStr">
        <is>
          <t>Low</t>
        </is>
      </c>
      <c r="I7" t="inlineStr">
        <is>
          <t>George Jordan</t>
        </is>
      </c>
      <c r="J7" t="inlineStr">
        <is>
          <t>2026-08-10</t>
        </is>
      </c>
      <c r="K7" t="inlineStr"/>
      <c r="L7" t="inlineStr">
        <is>
          <t>Planned</t>
        </is>
      </c>
      <c r="M7" t="inlineStr">
        <is>
          <t>Remove device</t>
        </is>
      </c>
      <c r="N7" t="inlineStr">
        <is>
          <t>Photos</t>
        </is>
      </c>
      <c r="O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Approvals</t>
        </is>
      </c>
    </row>
    <row r="2">
      <c r="A2" t="inlineStr">
        <is>
          <t>Change ID</t>
        </is>
      </c>
      <c r="B2" t="inlineStr">
        <is>
          <t>Approver</t>
        </is>
      </c>
      <c r="C2" t="inlineStr">
        <is>
          <t>Approval Date</t>
        </is>
      </c>
      <c r="D2" t="inlineStr">
        <is>
          <t>Decision</t>
        </is>
      </c>
      <c r="E2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Implementation Log</t>
        </is>
      </c>
    </row>
    <row r="2">
      <c r="A2" t="inlineStr">
        <is>
          <t>Change ID</t>
        </is>
      </c>
      <c r="B2" t="inlineStr">
        <is>
          <t>Step</t>
        </is>
      </c>
      <c r="C2" t="inlineStr">
        <is>
          <t>Engineer</t>
        </is>
      </c>
      <c r="D2" t="inlineStr">
        <is>
          <t>Timestamp</t>
        </is>
      </c>
      <c r="E2" t="inlineStr">
        <is>
          <t>Result</t>
        </is>
      </c>
      <c r="F2" t="inlineStr">
        <is>
          <t>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Post Implementation Review</t>
        </is>
      </c>
    </row>
    <row r="2">
      <c r="A2" t="inlineStr">
        <is>
          <t>Change ID</t>
        </is>
      </c>
      <c r="B2" t="inlineStr">
        <is>
          <t>Review Date</t>
        </is>
      </c>
      <c r="C2" t="inlineStr">
        <is>
          <t>Successful</t>
        </is>
      </c>
      <c r="D2" t="inlineStr">
        <is>
          <t>Issues</t>
        </is>
      </c>
      <c r="E2" t="inlineStr">
        <is>
          <t>Lessons Learned</t>
        </is>
      </c>
      <c r="F2" t="inlineStr">
        <is>
          <t>Follow-up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Reference Data</t>
        </is>
      </c>
    </row>
    <row r="3">
      <c r="A3" t="inlineStr">
        <is>
          <t>Status</t>
        </is>
      </c>
    </row>
    <row r="4">
      <c r="A4" t="inlineStr">
        <is>
          <t>Draft</t>
        </is>
      </c>
    </row>
    <row r="5">
      <c r="A5" t="inlineStr">
        <is>
          <t>Submitted</t>
        </is>
      </c>
    </row>
    <row r="6">
      <c r="A6" t="inlineStr">
        <is>
          <t>Approved</t>
        </is>
      </c>
    </row>
    <row r="7">
      <c r="A7" t="inlineStr">
        <is>
          <t>Planned</t>
        </is>
      </c>
    </row>
    <row r="8">
      <c r="A8" t="inlineStr">
        <is>
          <t>In Progress</t>
        </is>
      </c>
    </row>
    <row r="9">
      <c r="A9" t="inlineStr">
        <is>
          <t>Implemented</t>
        </is>
      </c>
    </row>
    <row r="10">
      <c r="A10" t="inlineStr">
        <is>
          <t>Closed</t>
        </is>
      </c>
    </row>
    <row r="11">
      <c r="A11" t="inlineStr">
        <is>
          <t>Rejected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Revision History</t>
        </is>
      </c>
    </row>
    <row r="2">
      <c r="A2" t="inlineStr">
        <is>
          <t>Version</t>
        </is>
      </c>
      <c r="B2" t="inlineStr">
        <is>
          <t>Date</t>
        </is>
      </c>
      <c r="C2" t="inlineStr">
        <is>
          <t>Author</t>
        </is>
      </c>
      <c r="D2" t="inlineStr">
        <is>
          <t>Summary</t>
        </is>
      </c>
    </row>
    <row r="3">
      <c r="A3" t="inlineStr">
        <is>
          <t>1.0</t>
        </is>
      </c>
      <c r="B3" t="inlineStr">
        <is>
          <t>2026-07-30</t>
        </is>
      </c>
      <c r="C3" t="inlineStr">
        <is>
          <t>George Jordan</t>
        </is>
      </c>
      <c r="D3" t="inlineStr">
        <is>
          <t>Initial baseline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Dashboard</t>
        </is>
      </c>
    </row>
    <row r="3">
      <c r="A3" t="inlineStr">
        <is>
          <t>Metric</t>
        </is>
      </c>
      <c r="B3" t="inlineStr">
        <is>
          <t>Value</t>
        </is>
      </c>
      <c r="D3" t="inlineStr">
        <is>
          <t>Priority</t>
        </is>
      </c>
      <c r="E3" t="inlineStr">
        <is>
          <t>Count</t>
        </is>
      </c>
    </row>
    <row r="4">
      <c r="A4" t="inlineStr">
        <is>
          <t>Total Changes</t>
        </is>
      </c>
      <c r="B4">
        <f>COUNTA('01_Change_Register'!A4:A1000)</f>
        <v/>
      </c>
      <c r="D4" t="inlineStr">
        <is>
          <t>High</t>
        </is>
      </c>
      <c r="E4">
        <f>COUNTIF('01_Change_Register'!G4:G1000,"High")</f>
        <v/>
      </c>
    </row>
    <row r="5">
      <c r="A5" t="inlineStr">
        <is>
          <t>Planned</t>
        </is>
      </c>
      <c r="B5">
        <f>COUNTIF('01_Change_Register'!L4:L1000,"Planned")</f>
        <v/>
      </c>
      <c r="D5" t="inlineStr">
        <is>
          <t>Medium</t>
        </is>
      </c>
      <c r="E5">
        <f>COUNTIF('01_Change_Register'!G4:G1000,"Medium")</f>
        <v/>
      </c>
    </row>
    <row r="6">
      <c r="A6" t="inlineStr">
        <is>
          <t>Implemented</t>
        </is>
      </c>
      <c r="B6">
        <f>COUNTIF('01_Change_Register'!L4:L1000,"Implemented")</f>
        <v/>
      </c>
      <c r="D6" t="inlineStr">
        <is>
          <t>Low</t>
        </is>
      </c>
      <c r="E6">
        <f>COUNTIF('01_Change_Register'!G4:G1000,"Low")</f>
        <v/>
      </c>
    </row>
    <row r="7">
      <c r="A7" t="inlineStr">
        <is>
          <t>Closed</t>
        </is>
      </c>
      <c r="B7">
        <f>COUNTIF('01_Change_Register'!L4:L1000,"Closed")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2026-07-30T21:21:12Z</dcterms:created>
  <dcterms:modified xmlns:dcterms="http://purl.org/dc/terms/" xmlns:xsi="http://www.w3.org/2001/XMLSchema-instance" xsi:type="dcterms:W3CDTF">2026-07-30T21:21:12Z</dcterms:modified>
</cp:coreProperties>
</file>