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Home" sheetId="1" state="visible" r:id="rId1"/>
    <sheet xmlns:r="http://schemas.openxmlformats.org/officeDocument/2006/relationships" name="01_Test_Register" sheetId="2" state="visible" r:id="rId2"/>
    <sheet xmlns:r="http://schemas.openxmlformats.org/officeDocument/2006/relationships" name="02_Test_Cases" sheetId="3" state="visible" r:id="rId3"/>
    <sheet xmlns:r="http://schemas.openxmlformats.org/officeDocument/2006/relationships" name="03_Test_Execution" sheetId="4" state="visible" r:id="rId4"/>
    <sheet xmlns:r="http://schemas.openxmlformats.org/officeDocument/2006/relationships" name="04_Evidence_Log" sheetId="5" state="visible" r:id="rId5"/>
    <sheet xmlns:r="http://schemas.openxmlformats.org/officeDocument/2006/relationships" name="05_Reference_Data" sheetId="6" state="visible" r:id="rId6"/>
    <sheet xmlns:r="http://schemas.openxmlformats.org/officeDocument/2006/relationships" name="06_Revision_History" sheetId="7" state="visible" r:id="rId7"/>
    <sheet xmlns:r="http://schemas.openxmlformats.org/officeDocument/2006/relationships" name="07_Dashboar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B0F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plotArea>
      <pieChart>
        <varyColors val="1"/>
        <ser>
          <idx val="0"/>
          <order val="0"/>
          <tx>
            <strRef>
              <f>'07_Dashboard'!E3</f>
            </strRef>
          </tx>
          <spPr>
            <a:ln xmlns:a="http://schemas.openxmlformats.org/drawingml/2006/main">
              <a:prstDash val="solid"/>
            </a:ln>
          </spPr>
          <cat>
            <numRef>
              <f>'07_Dashboard'!$D$4:$D$8</f>
            </numRef>
          </cat>
          <val>
            <numRef>
              <f>'07_Dashboard'!$E$4:$E$8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'07_Dashboard'!B3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'07_Dashboard'!$A$4:$A$8</f>
            </numRef>
          </cat>
          <val>
            <numRef>
              <f>'07_Dashboard'!$B$4:$B$8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estRegister" displayName="TestRegister" ref="A3:N9" headerRowCount="1">
  <autoFilter ref="A3:N9"/>
  <tableColumns count="14">
    <tableColumn id="1" name="Test ID"/>
    <tableColumn id="2" name="Title"/>
    <tableColumn id="3" name="Linked CI ID"/>
    <tableColumn id="4" name="Asset ID"/>
    <tableColumn id="5" name="Related Change ID"/>
    <tableColumn id="6" name="Category"/>
    <tableColumn id="7" name="Objective"/>
    <tableColumn id="8" name="Owner"/>
    <tableColumn id="9" name="Scheduled Date"/>
    <tableColumn id="10" name="Execution Date"/>
    <tableColumn id="11" name="Status"/>
    <tableColumn id="12" name="Result"/>
    <tableColumn id="13" name="Evidence"/>
    <tableColumn id="14" name="Not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Project Orion - Test Register</t>
        </is>
      </c>
    </row>
    <row r="3">
      <c r="A3" t="inlineStr">
        <is>
          <t>Workbook</t>
        </is>
      </c>
      <c r="B3" t="inlineStr">
        <is>
          <t>PO-Test-Register_v1.0.xlsx</t>
        </is>
      </c>
    </row>
    <row r="4">
      <c r="A4" t="inlineStr">
        <is>
          <t>Document ID</t>
        </is>
      </c>
      <c r="B4" t="inlineStr">
        <is>
          <t>EM-008</t>
        </is>
      </c>
    </row>
    <row r="5">
      <c r="A5" t="inlineStr">
        <is>
          <t>Version</t>
        </is>
      </c>
      <c r="B5" t="inlineStr">
        <is>
          <t>1.0</t>
        </is>
      </c>
    </row>
    <row r="6">
      <c r="A6" t="inlineStr">
        <is>
          <t>Sprint</t>
        </is>
      </c>
      <c r="B6" t="inlineStr">
        <is>
          <t>4</t>
        </is>
      </c>
    </row>
    <row r="7">
      <c r="A7" t="inlineStr">
        <is>
          <t>Engineering Session</t>
        </is>
      </c>
      <c r="B7" t="inlineStr">
        <is>
          <t>019</t>
        </is>
      </c>
    </row>
    <row r="8">
      <c r="A8" t="inlineStr">
        <is>
          <t>Status</t>
        </is>
      </c>
      <c r="B8" t="inlineStr">
        <is>
          <t>Baselined</t>
        </is>
      </c>
    </row>
    <row r="9">
      <c r="A9" t="inlineStr">
        <is>
          <t>Purpose</t>
        </is>
      </c>
      <c r="B9" t="inlineStr">
        <is>
          <t>Plan, execute, and document engineering, operational, and security tests.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Test Register</t>
        </is>
      </c>
    </row>
    <row r="3">
      <c r="A3" s="2" t="inlineStr">
        <is>
          <t>Test ID</t>
        </is>
      </c>
      <c r="B3" s="2" t="inlineStr">
        <is>
          <t>Title</t>
        </is>
      </c>
      <c r="C3" s="2" t="inlineStr">
        <is>
          <t>Linked CI ID</t>
        </is>
      </c>
      <c r="D3" s="2" t="inlineStr">
        <is>
          <t>Asset ID</t>
        </is>
      </c>
      <c r="E3" s="2" t="inlineStr">
        <is>
          <t>Related Change ID</t>
        </is>
      </c>
      <c r="F3" s="2" t="inlineStr">
        <is>
          <t>Category</t>
        </is>
      </c>
      <c r="G3" s="2" t="inlineStr">
        <is>
          <t>Objective</t>
        </is>
      </c>
      <c r="H3" s="2" t="inlineStr">
        <is>
          <t>Owner</t>
        </is>
      </c>
      <c r="I3" s="2" t="inlineStr">
        <is>
          <t>Scheduled Date</t>
        </is>
      </c>
      <c r="J3" s="2" t="inlineStr">
        <is>
          <t>Execution Date</t>
        </is>
      </c>
      <c r="K3" s="2" t="inlineStr">
        <is>
          <t>Status</t>
        </is>
      </c>
      <c r="L3" s="2" t="inlineStr">
        <is>
          <t>Result</t>
        </is>
      </c>
      <c r="M3" s="2" t="inlineStr">
        <is>
          <t>Evidence</t>
        </is>
      </c>
      <c r="N3" s="2" t="inlineStr">
        <is>
          <t>Notes</t>
        </is>
      </c>
    </row>
    <row r="4">
      <c r="A4" t="inlineStr">
        <is>
          <t>TST-001</t>
        </is>
      </c>
      <c r="B4" t="inlineStr">
        <is>
          <t>Flint 2 Firmware Validation</t>
        </is>
      </c>
      <c r="C4" t="inlineStr">
        <is>
          <t>CI-003</t>
        </is>
      </c>
      <c r="D4" t="inlineStr">
        <is>
          <t>AST-003</t>
        </is>
      </c>
      <c r="E4" t="inlineStr">
        <is>
          <t>CHG-001</t>
        </is>
      </c>
      <c r="F4" t="inlineStr">
        <is>
          <t>Firmware</t>
        </is>
      </c>
      <c r="G4" t="inlineStr">
        <is>
          <t>Verify firmware upgrade</t>
        </is>
      </c>
      <c r="H4" t="inlineStr">
        <is>
          <t>George Jordan</t>
        </is>
      </c>
      <c r="I4" t="inlineStr">
        <is>
          <t>2026-10-30</t>
        </is>
      </c>
      <c r="J4" t="inlineStr"/>
      <c r="K4" t="inlineStr">
        <is>
          <t>Planned</t>
        </is>
      </c>
      <c r="L4" t="inlineStr"/>
      <c r="M4" t="inlineStr"/>
      <c r="N4" t="inlineStr"/>
    </row>
    <row r="5">
      <c r="A5" t="inlineStr">
        <is>
          <t>TST-002</t>
        </is>
      </c>
      <c r="B5" t="inlineStr">
        <is>
          <t>Windows Patch Verification</t>
        </is>
      </c>
      <c r="C5" t="inlineStr">
        <is>
          <t>CI-004</t>
        </is>
      </c>
      <c r="D5" t="inlineStr">
        <is>
          <t>AST-004</t>
        </is>
      </c>
      <c r="E5" t="inlineStr">
        <is>
          <t>CHG-002</t>
        </is>
      </c>
      <c r="F5" t="inlineStr">
        <is>
          <t>Operating System</t>
        </is>
      </c>
      <c r="G5" t="inlineStr">
        <is>
          <t>Confirm successful patching</t>
        </is>
      </c>
      <c r="H5" t="inlineStr">
        <is>
          <t>George Jordan</t>
        </is>
      </c>
      <c r="I5" t="inlineStr">
        <is>
          <t>2026-08-15</t>
        </is>
      </c>
      <c r="J5" t="inlineStr"/>
      <c r="K5" t="inlineStr">
        <is>
          <t>Planned</t>
        </is>
      </c>
      <c r="L5" t="inlineStr"/>
      <c r="M5" t="inlineStr"/>
      <c r="N5" t="inlineStr"/>
    </row>
    <row r="6">
      <c r="A6" t="inlineStr">
        <is>
          <t>TST-003</t>
        </is>
      </c>
      <c r="B6" t="inlineStr">
        <is>
          <t>Home Assistant Backup Restore</t>
        </is>
      </c>
      <c r="C6" t="inlineStr">
        <is>
          <t>CI-006</t>
        </is>
      </c>
      <c r="D6" t="inlineStr"/>
      <c r="E6" t="inlineStr"/>
      <c r="F6" t="inlineStr">
        <is>
          <t>Backup</t>
        </is>
      </c>
      <c r="G6" t="inlineStr">
        <is>
          <t>Validate restore process</t>
        </is>
      </c>
      <c r="H6" t="inlineStr">
        <is>
          <t>George Jordan</t>
        </is>
      </c>
      <c r="I6" t="inlineStr">
        <is>
          <t>2026-08-20</t>
        </is>
      </c>
      <c r="J6" t="inlineStr"/>
      <c r="K6" t="inlineStr">
        <is>
          <t>Planned</t>
        </is>
      </c>
      <c r="L6" t="inlineStr"/>
      <c r="M6" t="inlineStr"/>
      <c r="N6" t="inlineStr"/>
    </row>
    <row r="7">
      <c r="A7" t="inlineStr">
        <is>
          <t>TST-004</t>
        </is>
      </c>
      <c r="B7" t="inlineStr">
        <is>
          <t>Doorbell Functional Test</t>
        </is>
      </c>
      <c r="C7" t="inlineStr">
        <is>
          <t>CI-007</t>
        </is>
      </c>
      <c r="D7" t="inlineStr">
        <is>
          <t>AST-006</t>
        </is>
      </c>
      <c r="E7" t="inlineStr">
        <is>
          <t>CHG-004</t>
        </is>
      </c>
      <c r="F7" t="inlineStr">
        <is>
          <t>Functional</t>
        </is>
      </c>
      <c r="G7" t="inlineStr">
        <is>
          <t>Verify live video and notifications</t>
        </is>
      </c>
      <c r="H7" t="inlineStr">
        <is>
          <t>George Jordan</t>
        </is>
      </c>
      <c r="I7" t="inlineStr">
        <is>
          <t>2026-08-10</t>
        </is>
      </c>
      <c r="J7" t="inlineStr"/>
      <c r="K7" t="inlineStr">
        <is>
          <t>Planned</t>
        </is>
      </c>
      <c r="L7" t="inlineStr"/>
      <c r="M7" t="inlineStr"/>
      <c r="N7" t="inlineStr"/>
    </row>
    <row r="8">
      <c r="A8" t="inlineStr">
        <is>
          <t>TST-005</t>
        </is>
      </c>
      <c r="B8" t="inlineStr">
        <is>
          <t>Camera Recording Test</t>
        </is>
      </c>
      <c r="C8" t="inlineStr">
        <is>
          <t>CI-008</t>
        </is>
      </c>
      <c r="D8" t="inlineStr">
        <is>
          <t>AST-007</t>
        </is>
      </c>
      <c r="E8" t="inlineStr"/>
      <c r="F8" t="inlineStr">
        <is>
          <t>Functional</t>
        </is>
      </c>
      <c r="G8" t="inlineStr">
        <is>
          <t>Verify recording retention</t>
        </is>
      </c>
      <c r="H8" t="inlineStr">
        <is>
          <t>George Jordan</t>
        </is>
      </c>
      <c r="I8" t="inlineStr">
        <is>
          <t>2026-09-15</t>
        </is>
      </c>
      <c r="J8" t="inlineStr"/>
      <c r="K8" t="inlineStr">
        <is>
          <t>Planned</t>
        </is>
      </c>
      <c r="L8" t="inlineStr"/>
      <c r="M8" t="inlineStr"/>
      <c r="N8" t="inlineStr"/>
    </row>
    <row r="9">
      <c r="A9" t="inlineStr">
        <is>
          <t>TST-006</t>
        </is>
      </c>
      <c r="B9" t="inlineStr">
        <is>
          <t>Network Connectivity Test</t>
        </is>
      </c>
      <c r="C9" t="inlineStr">
        <is>
          <t>CI-003</t>
        </is>
      </c>
      <c r="D9" t="inlineStr">
        <is>
          <t>AST-003</t>
        </is>
      </c>
      <c r="E9" t="inlineStr"/>
      <c r="F9" t="inlineStr">
        <is>
          <t>Network</t>
        </is>
      </c>
      <c r="G9" t="inlineStr">
        <is>
          <t>Validate LAN connectivity</t>
        </is>
      </c>
      <c r="H9" t="inlineStr">
        <is>
          <t>George Jordan</t>
        </is>
      </c>
      <c r="I9" t="inlineStr">
        <is>
          <t>2026-08-01</t>
        </is>
      </c>
      <c r="J9" t="inlineStr"/>
      <c r="K9" t="inlineStr">
        <is>
          <t>Planned</t>
        </is>
      </c>
      <c r="L9" t="inlineStr"/>
      <c r="M9" t="inlineStr"/>
      <c r="N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Test Cases</t>
        </is>
      </c>
    </row>
    <row r="2">
      <c r="A2" t="inlineStr">
        <is>
          <t>Test ID</t>
        </is>
      </c>
      <c r="B2" t="inlineStr">
        <is>
          <t>Step</t>
        </is>
      </c>
      <c r="C2" t="inlineStr">
        <is>
          <t>Expected Result</t>
        </is>
      </c>
      <c r="D2" t="inlineStr">
        <is>
          <t>Actual Result</t>
        </is>
      </c>
      <c r="E2" t="inlineStr">
        <is>
          <t>Pass/Fail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Test Execution</t>
        </is>
      </c>
    </row>
    <row r="2">
      <c r="A2" t="inlineStr">
        <is>
          <t>Execution ID</t>
        </is>
      </c>
      <c r="B2" t="inlineStr">
        <is>
          <t>Test ID</t>
        </is>
      </c>
      <c r="C2" t="inlineStr">
        <is>
          <t>Engineer</t>
        </is>
      </c>
      <c r="D2" t="inlineStr">
        <is>
          <t>Start</t>
        </is>
      </c>
      <c r="E2" t="inlineStr">
        <is>
          <t>End</t>
        </is>
      </c>
      <c r="F2" t="inlineStr">
        <is>
          <t>Outcome</t>
        </is>
      </c>
      <c r="G2" t="inlineStr">
        <is>
          <t>Comments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Evidence Log</t>
        </is>
      </c>
    </row>
    <row r="2">
      <c r="A2" t="inlineStr">
        <is>
          <t>Evidence ID</t>
        </is>
      </c>
      <c r="B2" t="inlineStr">
        <is>
          <t>Test ID</t>
        </is>
      </c>
      <c r="C2" t="inlineStr">
        <is>
          <t>Artifact</t>
        </is>
      </c>
      <c r="D2" t="inlineStr">
        <is>
          <t>Location/Link</t>
        </is>
      </c>
      <c r="E2" t="inlineStr">
        <is>
          <t>Captured By</t>
        </is>
      </c>
      <c r="F2" t="inlineStr">
        <is>
          <t>Date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Reference Data</t>
        </is>
      </c>
    </row>
    <row r="3">
      <c r="A3" t="inlineStr">
        <is>
          <t>Status</t>
        </is>
      </c>
      <c r="C3" t="inlineStr">
        <is>
          <t>Result</t>
        </is>
      </c>
    </row>
    <row r="4">
      <c r="A4" t="inlineStr">
        <is>
          <t>Planned</t>
        </is>
      </c>
      <c r="C4" t="inlineStr">
        <is>
          <t>Pass</t>
        </is>
      </c>
    </row>
    <row r="5">
      <c r="A5" t="inlineStr">
        <is>
          <t>In Progress</t>
        </is>
      </c>
      <c r="C5" t="inlineStr">
        <is>
          <t>Fail</t>
        </is>
      </c>
    </row>
    <row r="6">
      <c r="A6" t="inlineStr">
        <is>
          <t>Completed</t>
        </is>
      </c>
      <c r="C6" t="inlineStr">
        <is>
          <t>Blocked</t>
        </is>
      </c>
    </row>
    <row r="7">
      <c r="A7" t="inlineStr">
        <is>
          <t>Deferred</t>
        </is>
      </c>
      <c r="C7" t="inlineStr">
        <is>
          <t>Not Executed</t>
        </is>
      </c>
    </row>
    <row r="8">
      <c r="A8" t="inlineStr">
        <is>
          <t>Cancelled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Revision History</t>
        </is>
      </c>
    </row>
    <row r="2">
      <c r="A2" t="inlineStr">
        <is>
          <t>Version</t>
        </is>
      </c>
      <c r="B2" t="inlineStr">
        <is>
          <t>Date</t>
        </is>
      </c>
      <c r="C2" t="inlineStr">
        <is>
          <t>Author</t>
        </is>
      </c>
      <c r="D2" t="inlineStr">
        <is>
          <t>Summary</t>
        </is>
      </c>
    </row>
    <row r="3">
      <c r="A3" t="inlineStr">
        <is>
          <t>1.0</t>
        </is>
      </c>
      <c r="B3" t="inlineStr">
        <is>
          <t>2026-07-30</t>
        </is>
      </c>
      <c r="C3" t="inlineStr">
        <is>
          <t>George Jordan</t>
        </is>
      </c>
      <c r="D3" t="inlineStr">
        <is>
          <t>Initial baseline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Dashboard</t>
        </is>
      </c>
    </row>
    <row r="3">
      <c r="A3" t="inlineStr">
        <is>
          <t>Metric</t>
        </is>
      </c>
      <c r="B3" t="inlineStr">
        <is>
          <t>Value</t>
        </is>
      </c>
      <c r="D3" t="inlineStr">
        <is>
          <t>Category</t>
        </is>
      </c>
      <c r="E3" t="inlineStr">
        <is>
          <t>Count</t>
        </is>
      </c>
    </row>
    <row r="4">
      <c r="A4" t="inlineStr">
        <is>
          <t>Total Tests</t>
        </is>
      </c>
      <c r="B4">
        <f>COUNTA('01_Test_Register'!A4:A1000)</f>
        <v/>
      </c>
      <c r="D4" t="inlineStr">
        <is>
          <t>Firmware</t>
        </is>
      </c>
      <c r="E4">
        <f>COUNTIF('01_Test_Register'!F4:F1000,"Firmware")</f>
        <v/>
      </c>
    </row>
    <row r="5">
      <c r="A5" t="inlineStr">
        <is>
          <t>Planned</t>
        </is>
      </c>
      <c r="B5">
        <f>COUNTIF('01_Test_Register'!K4:K1000,"Planned")</f>
        <v/>
      </c>
      <c r="D5" t="inlineStr">
        <is>
          <t>Operating System</t>
        </is>
      </c>
      <c r="E5">
        <f>COUNTIF('01_Test_Register'!F4:F1000,"Operating System")</f>
        <v/>
      </c>
    </row>
    <row r="6">
      <c r="A6" t="inlineStr">
        <is>
          <t>Completed</t>
        </is>
      </c>
      <c r="B6">
        <f>COUNTIF('01_Test_Register'!K4:K1000,"Completed")</f>
        <v/>
      </c>
      <c r="D6" t="inlineStr">
        <is>
          <t>Backup</t>
        </is>
      </c>
      <c r="E6">
        <f>COUNTIF('01_Test_Register'!F4:F1000,"Backup")</f>
        <v/>
      </c>
    </row>
    <row r="7">
      <c r="A7" t="inlineStr">
        <is>
          <t>Passed</t>
        </is>
      </c>
      <c r="B7">
        <f>COUNTIF('01_Test_Register'!L4:L1000,"Pass")</f>
        <v/>
      </c>
      <c r="D7" t="inlineStr">
        <is>
          <t>Functional</t>
        </is>
      </c>
      <c r="E7">
        <f>COUNTIF('01_Test_Register'!F4:F1000,"Functional")</f>
        <v/>
      </c>
    </row>
    <row r="8">
      <c r="A8" t="inlineStr">
        <is>
          <t>Failed</t>
        </is>
      </c>
      <c r="B8">
        <f>COUNTIF('01_Test_Register'!L4:L1000,"Fail")</f>
        <v/>
      </c>
      <c r="D8" t="inlineStr">
        <is>
          <t>Network</t>
        </is>
      </c>
      <c r="E8">
        <f>COUNTIF('01_Test_Register'!F4:F1000,"Network")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2026-07-30T21:25:45Z</dcterms:created>
  <dcterms:modified xmlns:dcterms="http://purl.org/dc/terms/" xmlns:xsi="http://www.w3.org/2001/XMLSchema-instance" xsi:type="dcterms:W3CDTF">2026-07-30T21:25:45Z</dcterms:modified>
</cp:coreProperties>
</file>