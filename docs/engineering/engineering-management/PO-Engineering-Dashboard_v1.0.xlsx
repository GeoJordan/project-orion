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7465d5265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ome" sheetId="1" r:id="Rff3dc3806e3e419b"/>
    <x:sheet xmlns:r="http://schemas.openxmlformats.org/officeDocument/2006/relationships" name="01_Executive_Dashboard" sheetId="2" r:id="Rbb42de360dd44a39"/>
    <x:sheet xmlns:r="http://schemas.openxmlformats.org/officeDocument/2006/relationships" name="02_Domain_Scorecard" sheetId="3" r:id="R8b83521dd82a437b"/>
    <x:sheet xmlns:r="http://schemas.openxmlformats.org/officeDocument/2006/relationships" name="03_Action_Center" sheetId="4" r:id="R0747e8d8bb724017"/>
    <x:sheet xmlns:r="http://schemas.openxmlformats.org/officeDocument/2006/relationships" name="04_Source_Data" sheetId="5" r:id="Rd7489f71ee2a4bba"/>
    <x:sheet xmlns:r="http://schemas.openxmlformats.org/officeDocument/2006/relationships" name="05_Reference_Data" sheetId="6" r:id="R71a9ccf14f2f41bc"/>
    <x:sheet xmlns:r="http://schemas.openxmlformats.org/officeDocument/2006/relationships" name="06_Revision_History" sheetId="7" r:id="Rc6cb1bb70d9c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2F2F2F"/>
      <x:name val="Carlito"/>
    </x:font>
    <x:font>
      <x:b/>
      <x:sz val="18"/>
      <x:color rgb="FF6B0F1A"/>
      <x:name val="Carlito"/>
    </x:font>
    <x:font>
      <x:b/>
      <x:sz val="11"/>
      <x:color rgb="FF2F2F2F"/>
      <x:name val="Aptos"/>
    </x:font>
    <x:font>
      <x:b/>
      <x:sz val="18"/>
      <x:color rgb="FF6B0F1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6B0F1A"/>
      </x:patternFill>
    </x:fill>
    <x:fill>
      <x:patternFill patternType="solid">
        <x:fgColor rgb="FFC9A227"/>
      </x:patternFill>
    </x:fill>
    <x:fill>
      <x:patternFill patternType="solid">
        <x:fgColor rgb="FFF7F3F4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200" fontId="7" fillId="5" borderId="0" xfId="0" applyNumberFormat="1" applyFont="1" applyFill="1" applyBorder="1" applyAlignment="1">
      <x:alignment horizontal="center" vertical="center"/>
    </x:xf>
    <x:xf numFmtId="200" fontId="7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horizontal="center" vertical="center"/>
    </x:xf>
    <x:xf numFmtId="200" fontId="9" fillId="5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horizontal="center" vertical="center"/>
    </x:xf>
    <x:xf numFmtId="200" fontId="9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/>
    <x:xf numFmtId="0" fontId="8" fillId="3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3271c2dbb42e4" /><Relationship Type="http://schemas.openxmlformats.org/officeDocument/2006/relationships/theme" Target="/xl/theme/theme1.xml" Id="R056011f6b6cf4083" /><Relationship Type="http://schemas.openxmlformats.org/officeDocument/2006/relationships/sharedStrings" Target="/xl/sharedStrings.xml" Id="R799c5bf9cae44de5" /><Relationship Type="http://schemas.openxmlformats.org/officeDocument/2006/relationships/worksheet" Target="/xl/worksheets/sheet1.xml" Id="Rff3dc3806e3e419b" /><Relationship Type="http://schemas.openxmlformats.org/officeDocument/2006/relationships/worksheet" Target="/xl/worksheets/sheet2.xml" Id="Rbb42de360dd44a39" /><Relationship Type="http://schemas.openxmlformats.org/officeDocument/2006/relationships/worksheet" Target="/xl/worksheets/sheet3.xml" Id="R8b83521dd82a437b" /><Relationship Type="http://schemas.openxmlformats.org/officeDocument/2006/relationships/worksheet" Target="/xl/worksheets/sheet4.xml" Id="R0747e8d8bb724017" /><Relationship Type="http://schemas.openxmlformats.org/officeDocument/2006/relationships/worksheet" Target="/xl/worksheets/sheet5.xml" Id="Rd7489f71ee2a4bba" /><Relationship Type="http://schemas.openxmlformats.org/officeDocument/2006/relationships/worksheet" Target="/xl/worksheets/sheet6.xml" Id="R71a9ccf14f2f41bc" /><Relationship Type="http://schemas.openxmlformats.org/officeDocument/2006/relationships/worksheet" Target="/xl/worksheets/sheet7.xml" Id="Rc6cb1bb70d9c49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bfacbb64584f00" /><Relationship Type="http://schemas.openxmlformats.org/officeDocument/2006/relationships/chart" Target="/xl/drawings/charts/chart2.xml" Id="Rfb477a350bf84534" /><Relationship Type="http://schemas.openxmlformats.org/officeDocument/2006/relationships/chart" Target="/xl/drawings/charts/chart3.xml" Id="R2b5d7904af97454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d8151e176f740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Configuration Item Status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'01_Executive_Dashboard'!$A$17:$A$19</c:f>
              <c:strCache>
                <c:ptCount val="0"/>
              </c:strCache>
            </c:strRef>
          </c:cat>
          <c:val>
            <c:numRef>
              <c:f>'01_Executive_Dashboard'!$B$17:$B$19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Residual Risk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'01_Executive_Dashboard'!$E$17:$E$20</c:f>
              <c:strCache>
                <c:ptCount val="0"/>
              </c:strCache>
            </c:strRef>
          </c:cat>
          <c:val>
            <c:numRef>
              <c:f>'01_Executive_Dashboard'!$F$17:$F$20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Domain Completion / Health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Completed/Healthy</c:v>
          </c:tx>
          <c:cat>
            <c:strRef>
              <c:f>'01_Executive_Dashboard'!$I$17:$I$21</c:f>
              <c:strCache>
                <c:ptCount val="0"/>
              </c:strCache>
            </c:strRef>
          </c:cat>
          <c:val>
            <c:numRef>
              <c:f>'01_Executive_Dashboard'!$J$17:$J$21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</c:v>
          </c:tx>
          <c:cat>
            <c:strRef>
              <c:f>'01_Executive_Dashboard'!$I$17:$I$21</c:f>
              <c:strCache>
                <c:ptCount val="0"/>
              </c:strCache>
            </c:strRef>
          </c:cat>
          <c:val>
            <c:numRef>
              <c:f>'01_Executive_Dashboard'!$K$17:$K$21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Engineering Domain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Primary Metric</c:v>
          </c:tx>
          <c:cat>
            <c:strRef>
              <c:f>'02_Domain_Scorecard'!$A$5:$A$12</c:f>
              <c:strCache>
                <c:ptCount val="0"/>
              </c:strCache>
            </c:strRef>
          </c:cat>
          <c:val>
            <c:numRef>
              <c:f>'02_Domain_Scorecard'!$B$5:$B$12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Current Value</c:v>
          </c:tx>
          <c:cat>
            <c:strRef>
              <c:f>'02_Domain_Scorecard'!$A$5:$A$12</c:f>
              <c:strCache>
                <c:ptCount val="0"/>
              </c:strCache>
            </c:strRef>
          </c:cat>
          <c:val>
            <c:numRef>
              <c:f>'02_Domain_Scorecard'!$C$5:$C$12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Score</c:v>
          </c:tx>
          <c:cat>
            <c:strRef>
              <c:f>'02_Domain_Scorecard'!$A$5:$A$12</c:f>
              <c:strCache>
                <c:ptCount val="0"/>
              </c:strCache>
            </c:strRef>
          </c:cat>
          <c:val>
            <c:numRef>
              <c:f>'02_Domain_Scorecard'!$D$5:$D$12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bfacbb64584f00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77a350bf84534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5d7904af97454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8151e176f740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9" name="ActionCenterTable" displayName="ActionCenterTable" ref="A4:F10" headerRowCount="1">
  <x:tableColumns count="6">
    <x:tableColumn id="1" name="Priority"/>
    <x:tableColumn id="2" name="Action ID"/>
    <x:tableColumn id="3" name="Action"/>
    <x:tableColumn id="4" name="Linked Record"/>
    <x:tableColumn id="5" name="Target Date"/>
    <x:tableColumn id="6" name="Status"/>
  </x:tableColumns>
  <x:tableStyleInfo name="TableStyleMedium2" showRowStripes="1"/>
</x:table>
</file>

<file path=xl/tables/table2.xml><?xml version="1.0" encoding="utf-8"?>
<x:table xmlns:x="http://schemas.openxmlformats.org/spreadsheetml/2006/main" id="1" name="CMDBTable" displayName="CMDBTable" ref="A5:G19" headerRowCount="1">
  <x:tableColumns count="7">
    <x:tableColumn id="1" name="CI ID"/>
    <x:tableColumn id="2" name="Asset Name"/>
    <x:tableColumn id="3" name="CI Category"/>
    <x:tableColumn id="4" name="CI Type"/>
    <x:tableColumn id="5" name="Operational Status"/>
    <x:tableColumn id="6" name="Lifecycle Status"/>
    <x:tableColumn id="7" name="Criticality"/>
  </x:tableColumns>
  <x:tableStyleInfo name="TableStyleMedium2" showRowStripes="1"/>
</x:table>
</file>

<file path=xl/tables/table3.xml><?xml version="1.0" encoding="utf-8"?>
<x:table xmlns:x="http://schemas.openxmlformats.org/spreadsheetml/2006/main" id="2" name="AssetsTable" displayName="AssetsTable" ref="A22:G31" headerRowCount="1">
  <x:tableColumns count="7">
    <x:tableColumn id="1" name="Asset ID"/>
    <x:tableColumn id="2" name="Linked CI ID"/>
    <x:tableColumn id="3" name="Asset Name"/>
    <x:tableColumn id="4" name="Category"/>
    <x:tableColumn id="5" name="Vendor"/>
    <x:tableColumn id="6" name="Lifecycle Status"/>
    <x:tableColumn id="7" name="Purchase Cost"/>
  </x:tableColumns>
  <x:tableStyleInfo name="TableStyleMedium2" showRowStripes="1"/>
</x:table>
</file>

<file path=xl/tables/table4.xml><?xml version="1.0" encoding="utf-8"?>
<x:table xmlns:x="http://schemas.openxmlformats.org/spreadsheetml/2006/main" id="3" name="IPAMTable" displayName="IPAMTable" ref="A34:F39" headerRowCount="1">
  <x:tableColumns count="6">
    <x:tableColumn id="1" name="IP ID"/>
    <x:tableColumn id="2" name="Linked CI ID"/>
    <x:tableColumn id="3" name="Hostname"/>
    <x:tableColumn id="4" name="IPv4 Address"/>
    <x:tableColumn id="5" name="Assignment"/>
    <x:tableColumn id="6" name="Status"/>
  </x:tableColumns>
  <x:tableStyleInfo name="TableStyleMedium2" showRowStripes="1"/>
</x:table>
</file>

<file path=xl/tables/table5.xml><?xml version="1.0" encoding="utf-8"?>
<x:table xmlns:x="http://schemas.openxmlformats.org/spreadsheetml/2006/main" id="4" name="FirmwareTable" displayName="FirmwareTable" ref="A42:E47" headerRowCount="1">
  <x:tableColumns count="5">
    <x:tableColumn id="1" name="Firmware ID"/>
    <x:tableColumn id="2" name="Linked CI ID"/>
    <x:tableColumn id="3" name="Device"/>
    <x:tableColumn id="4" name="Compliance"/>
    <x:tableColumn id="5" name="Next Review"/>
  </x:tableColumns>
  <x:tableStyleInfo name="TableStyleMedium2" showRowStripes="1"/>
</x:table>
</file>

<file path=xl/tables/table6.xml><?xml version="1.0" encoding="utf-8"?>
<x:table xmlns:x="http://schemas.openxmlformats.org/spreadsheetml/2006/main" id="5" name="MaintenanceTable" displayName="MaintenanceTable" ref="A50:F56" headerRowCount="1">
  <x:tableColumns count="6">
    <x:tableColumn id="1" name="Maintenance ID"/>
    <x:tableColumn id="2" name="Linked CI ID"/>
    <x:tableColumn id="3" name="Task"/>
    <x:tableColumn id="4" name="Scheduled Date"/>
    <x:tableColumn id="5" name="Status"/>
    <x:tableColumn id="6" name="Priority"/>
  </x:tableColumns>
  <x:tableStyleInfo name="TableStyleMedium2" showRowStripes="1"/>
</x:table>
</file>

<file path=xl/tables/table7.xml><?xml version="1.0" encoding="utf-8"?>
<x:table xmlns:x="http://schemas.openxmlformats.org/spreadsheetml/2006/main" id="6" name="ChangesTable" displayName="ChangesTable" ref="A59:G63" headerRowCount="1">
  <x:tableColumns count="7">
    <x:tableColumn id="1" name="Change ID"/>
    <x:tableColumn id="2" name="Title"/>
    <x:tableColumn id="3" name="Linked CI ID"/>
    <x:tableColumn id="4" name="Priority"/>
    <x:tableColumn id="5" name="Risk"/>
    <x:tableColumn id="6" name="Scheduled Date"/>
    <x:tableColumn id="7" name="Status"/>
  </x:tableColumns>
  <x:tableStyleInfo name="TableStyleMedium2" showRowStripes="1"/>
</x:table>
</file>

<file path=xl/tables/table8.xml><?xml version="1.0" encoding="utf-8"?>
<x:table xmlns:x="http://schemas.openxmlformats.org/spreadsheetml/2006/main" id="7" name="RisksTable" displayName="RisksTable" ref="A66:H71" headerRowCount="1">
  <x:tableColumns count="8">
    <x:tableColumn id="1" name="Risk ID"/>
    <x:tableColumn id="2" name="Title"/>
    <x:tableColumn id="3" name="Linked CI ID"/>
    <x:tableColumn id="4" name="Category"/>
    <x:tableColumn id="5" name="Inherent Risk"/>
    <x:tableColumn id="6" name="Residual Risk"/>
    <x:tableColumn id="7" name="Status"/>
    <x:tableColumn id="8" name="Review Date"/>
  </x:tableColumns>
  <x:tableStyleInfo name="TableStyleMedium2" showRowStripes="1"/>
</x:table>
</file>

<file path=xl/tables/table9.xml><?xml version="1.0" encoding="utf-8"?>
<x:table xmlns:x="http://schemas.openxmlformats.org/spreadsheetml/2006/main" id="8" name="TestsTable" displayName="TestsTable" ref="A74:G80" headerRowCount="1">
  <x:tableColumns count="7">
    <x:tableColumn id="1" name="Test ID"/>
    <x:tableColumn id="2" name="Title"/>
    <x:tableColumn id="3" name="Linked CI ID"/>
    <x:tableColumn id="4" name="Category"/>
    <x:tableColumn id="5" name="Scheduled Date"/>
    <x:tableColumn id="6" name="Status"/>
    <x:tableColumn id="7" name="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e656797432a46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07eb687b25742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f42e66fbcd446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ee17f7e939a48e4" /><Relationship Type="http://schemas.openxmlformats.org/officeDocument/2006/relationships/table" Target="/xl/tables/table3.xml" Id="R290ab703d47f4f01" /><Relationship Type="http://schemas.openxmlformats.org/officeDocument/2006/relationships/table" Target="/xl/tables/table4.xml" Id="Rc7251ca237284c8a" /><Relationship Type="http://schemas.openxmlformats.org/officeDocument/2006/relationships/table" Target="/xl/tables/table5.xml" Id="Re8bfe81598f04b95" /><Relationship Type="http://schemas.openxmlformats.org/officeDocument/2006/relationships/table" Target="/xl/tables/table6.xml" Id="R9f01730ddcac4641" /><Relationship Type="http://schemas.openxmlformats.org/officeDocument/2006/relationships/table" Target="/xl/tables/table7.xml" Id="Rd72a9c58adf24c26" /><Relationship Type="http://schemas.openxmlformats.org/officeDocument/2006/relationships/table" Target="/xl/tables/table8.xml" Id="Rf28c86c915f348f5" /><Relationship Type="http://schemas.openxmlformats.org/officeDocument/2006/relationships/table" Target="/xl/tables/table9.xml" Id="Rc2a0af8f012245e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4" t="str">
        <x:v>PROJECT ORION — ENGINEERING DASHBOARD</x:v>
      </x:c>
      <x:c r="B1" s="34"/>
      <x:c r="C1" s="34"/>
      <x:c r="D1" s="34"/>
      <x:c r="E1" s="34"/>
      <x:c r="F1" s="34"/>
      <x:c r="G1" s="34"/>
      <x:c r="H1" s="3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>
      <x:c r="A2" s="34"/>
      <x:c r="B2" s="34"/>
      <x:c r="C2" s="34"/>
      <x:c r="D2" s="34"/>
      <x:c r="E2" s="34"/>
      <x:c r="F2" s="34"/>
      <x:c r="G2" s="34"/>
      <x:c r="H2" s="3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</x:row>
    <x:row r="4">
      <x:c r="A4" s="26" t="str">
        <x:v>Document Field</x:v>
      </x:c>
      <x:c r="B4" s="26" t="str">
        <x:v>Value</x:v>
      </x:c>
      <x:c r="C4" s="75"/>
      <x:c r="D4" s="75"/>
      <x:c r="E4" s="75"/>
      <x:c r="F4" s="75"/>
      <x:c r="G4" s="75"/>
      <x:c r="H4" s="75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</x:row>
    <x:row r="5">
      <x:c r="A5" s="75" t="str">
        <x:v>Workbook</x:v>
      </x:c>
      <x:c r="B5" s="75" t="str">
        <x:v>PO-Engineering-Dashboard_v1.0.xlsx</x:v>
      </x:c>
      <x:c r="C5" s="75"/>
      <x:c r="D5" s="75"/>
      <x:c r="E5" s="75"/>
      <x:c r="F5" s="75"/>
      <x:c r="G5" s="75"/>
      <x:c r="H5" s="75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</x:row>
    <x:row r="6">
      <x:c r="A6" s="75" t="str">
        <x:v>Document ID</x:v>
      </x:c>
      <x:c r="B6" s="75" t="str">
        <x:v>EM-009</x:v>
      </x:c>
      <x:c r="C6" s="75"/>
      <x:c r="D6" s="75"/>
      <x:c r="E6" s="75"/>
      <x:c r="F6" s="75"/>
      <x:c r="G6" s="75"/>
      <x:c r="H6" s="75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</x:row>
    <x:row r="7">
      <x:c r="A7" s="75" t="str">
        <x:v>Version</x:v>
      </x:c>
      <x:c r="B7" s="75" t="str">
        <x:v>1.0</x:v>
      </x:c>
      <x:c r="C7" s="75"/>
      <x:c r="D7" s="75"/>
      <x:c r="E7" s="75"/>
      <x:c r="F7" s="75"/>
      <x:c r="G7" s="75"/>
      <x:c r="H7" s="75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</x:row>
    <x:row r="8">
      <x:c r="A8" s="75" t="str">
        <x:v>Status</x:v>
      </x:c>
      <x:c r="B8" s="75" t="str">
        <x:v>Baselined</x:v>
      </x:c>
      <x:c r="C8" s="75"/>
      <x:c r="D8" s="75"/>
      <x:c r="E8" s="75"/>
      <x:c r="F8" s="75"/>
      <x:c r="G8" s="75"/>
      <x:c r="H8" s="75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</x:row>
    <x:row r="9">
      <x:c r="A9" s="75" t="str">
        <x:v>Sprint</x:v>
      </x:c>
      <x:c r="B9" s="75" t="str">
        <x:v>4</x:v>
      </x:c>
      <x:c r="C9" s="75"/>
      <x:c r="D9" s="75"/>
      <x:c r="E9" s="75"/>
      <x:c r="F9" s="75"/>
      <x:c r="G9" s="75"/>
      <x:c r="H9" s="75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</x:row>
    <x:row r="10">
      <x:c r="A10" s="75" t="str">
        <x:v>Engineering Session</x:v>
      </x:c>
      <x:c r="B10" s="75" t="str">
        <x:v>020</x:v>
      </x:c>
      <x:c r="C10" s="75"/>
      <x:c r="D10" s="75"/>
      <x:c r="E10" s="75"/>
      <x:c r="F10" s="75"/>
      <x:c r="G10" s="75"/>
      <x:c r="H10" s="75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</x:row>
    <x:row r="11">
      <x:c r="A11" s="75" t="str">
        <x:v>Owner</x:v>
      </x:c>
      <x:c r="B11" s="75" t="str">
        <x:v>George Jordan</x:v>
      </x:c>
      <x:c r="C11" s="75"/>
      <x:c r="D11" s="75"/>
      <x:c r="E11" s="75"/>
      <x:c r="F11" s="75"/>
      <x:c r="G11" s="75"/>
      <x:c r="H11" s="75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</x:row>
    <x:row r="12">
      <x:c r="A12" s="75" t="str">
        <x:v>Classification</x:v>
      </x:c>
      <x:c r="B12" s="75" t="str">
        <x:v>Internal</x:v>
      </x:c>
      <x:c r="C12" s="75"/>
      <x:c r="D12" s="75"/>
      <x:c r="E12" s="75"/>
      <x:c r="F12" s="75"/>
      <x:c r="G12" s="75"/>
      <x:c r="H12" s="75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</x:row>
    <x:row r="13">
      <x:c r="A13" s="75" t="str">
        <x:v>Last Updated</x:v>
      </x:c>
      <x:c r="B13" s="75" t="str">
        <x:v>2026-07-30</x:v>
      </x:c>
      <x:c r="C13" s="75"/>
      <x:c r="D13" s="75"/>
      <x:c r="E13" s="75"/>
      <x:c r="F13" s="75"/>
      <x:c r="G13" s="75"/>
      <x:c r="H13" s="75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</x:row>
    <x:row r="14">
      <x:c r="A14" s="75"/>
      <x:c r="B14" s="75"/>
      <x:c r="C14" s="75"/>
      <x:c r="D14" s="75"/>
      <x:c r="E14" s="75"/>
      <x:c r="F14" s="75"/>
      <x:c r="G14" s="75"/>
      <x:c r="H14" s="75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</x:row>
    <x:row r="15">
      <x:c r="A15" s="35" t="str">
        <x:v>Purpose</x:v>
      </x:c>
      <x:c r="B15" s="35"/>
      <x:c r="C15" s="35"/>
      <x:c r="D15" s="35"/>
      <x:c r="E15" s="35"/>
      <x:c r="F15" s="35"/>
      <x:c r="G15" s="35"/>
      <x:c r="H15" s="35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</x:row>
    <x:row r="16">
      <x:c r="A16" s="75" t="str">
        <x:v>Executive command center consolidating configuration, asset, network, firmware, maintenance, change, risk, and testing metrics from the Project Orion Engineering Management Suite.</x:v>
      </x:c>
      <x:c r="B16" s="75"/>
      <x:c r="C16" s="75"/>
      <x:c r="D16" s="75"/>
      <x:c r="E16" s="75"/>
      <x:c r="F16" s="75"/>
      <x:c r="G16" s="75"/>
      <x:c r="H16" s="75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</x:row>
    <x:row r="17">
      <x:c r="A17" s="75"/>
      <x:c r="B17" s="75"/>
      <x:c r="C17" s="75"/>
      <x:c r="D17" s="75"/>
      <x:c r="E17" s="75"/>
      <x:c r="F17" s="75"/>
      <x:c r="G17" s="75"/>
      <x:c r="H17" s="75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</x:row>
    <x:row r="18">
      <x:c r="A18" s="75"/>
      <x:c r="B18" s="75"/>
      <x:c r="C18" s="75"/>
      <x:c r="D18" s="75"/>
      <x:c r="E18" s="75"/>
      <x:c r="F18" s="75"/>
      <x:c r="G18" s="75"/>
      <x:c r="H18" s="75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</x:row>
    <x:row r="19">
      <x:c r="A19" s="75"/>
      <x:c r="B19" s="75"/>
      <x:c r="C19" s="75"/>
      <x:c r="D19" s="75"/>
      <x:c r="E19" s="75"/>
      <x:c r="F19" s="75"/>
      <x:c r="G19" s="75"/>
      <x:c r="H19" s="75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</x:row>
    <x:row r="20">
      <x:c r="A20" s="35" t="str">
        <x:v>Workbook Navigation</x:v>
      </x:c>
      <x:c r="B20" s="35"/>
      <x:c r="C20" s="35"/>
      <x:c r="D20" s="35"/>
      <x:c r="E20" s="35"/>
      <x:c r="F20" s="35"/>
      <x:c r="G20" s="35"/>
      <x:c r="H20" s="35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</x:row>
    <x:row r="21">
      <x:c r="A21" s="26" t="str">
        <x:v>Worksheet</x:v>
      </x:c>
      <x:c r="B21" s="26" t="str">
        <x:v>Purpose</x:v>
      </x:c>
      <x:c r="C21" s="75"/>
      <x:c r="D21" s="75"/>
      <x:c r="E21" s="75"/>
      <x:c r="F21" s="75"/>
      <x:c r="G21" s="75"/>
      <x:c r="H21" s="75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</x:row>
    <x:row r="22">
      <x:c r="A22" s="75" t="str">
        <x:v>01_Executive_Dashboard</x:v>
      </x:c>
      <x:c r="B22" s="75" t="str">
        <x:v>Executive KPIs, charts, and management summary</x:v>
      </x:c>
      <x:c r="C22" s="75"/>
      <x:c r="D22" s="75"/>
      <x:c r="E22" s="75"/>
      <x:c r="F22" s="75"/>
      <x:c r="G22" s="75"/>
      <x:c r="H22" s="75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</x:row>
    <x:row r="23">
      <x:c r="A23" s="75" t="str">
        <x:v>02_Domain_Scorecard</x:v>
      </x:c>
      <x:c r="B23" s="75" t="str">
        <x:v>Health ratings for each engineering domain</x:v>
      </x:c>
      <x:c r="C23" s="75"/>
      <x:c r="D23" s="75"/>
      <x:c r="E23" s="75"/>
      <x:c r="F23" s="75"/>
      <x:c r="G23" s="75"/>
      <x:c r="H23" s="75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</x:row>
    <x:row r="24">
      <x:c r="A24" s="75" t="str">
        <x:v>03_Action_Center</x:v>
      </x:c>
      <x:c r="B24" s="75" t="str">
        <x:v>Upcoming work and items requiring attention</x:v>
      </x:c>
      <x:c r="C24" s="75"/>
      <x:c r="D24" s="75"/>
      <x:c r="E24" s="75"/>
      <x:c r="F24" s="75"/>
      <x:c r="G24" s="75"/>
      <x:c r="H24" s="75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</x:row>
    <x:row r="25">
      <x:c r="A25" s="75" t="str">
        <x:v>04_Source_Data</x:v>
      </x:c>
      <x:c r="B25" s="75" t="str">
        <x:v>Consolidated source tables from eight workbooks</x:v>
      </x:c>
      <x:c r="C25" s="75"/>
      <x:c r="D25" s="75"/>
      <x:c r="E25" s="75"/>
      <x:c r="F25" s="75"/>
      <x:c r="G25" s="75"/>
      <x:c r="H25" s="75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</x:row>
    <x:row r="26">
      <x:c r="A26" s="75" t="str">
        <x:v>05_Reference_Data</x:v>
      </x:c>
      <x:c r="B26" s="75" t="str">
        <x:v>Scoring thresholds and controlled values</x:v>
      </x:c>
      <x:c r="C26" s="75"/>
      <x:c r="D26" s="75"/>
      <x:c r="E26" s="75"/>
      <x:c r="F26" s="75"/>
      <x:c r="G26" s="75"/>
      <x:c r="H26" s="75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</x:row>
    <x:row r="27">
      <x:c r="A27" s="75" t="str">
        <x:v>06_Revision_History</x:v>
      </x:c>
      <x:c r="B27" s="75" t="str">
        <x:v>Version history and change record</x:v>
      </x:c>
      <x:c r="C27" s="75"/>
      <x:c r="D27" s="75"/>
      <x:c r="E27" s="75"/>
      <x:c r="F27" s="75"/>
      <x:c r="G27" s="75"/>
      <x:c r="H27" s="75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</x:row>
  </x:sheetData>
  <x:mergeCells>
    <x:mergeCell ref="A1:H2"/>
    <x:mergeCell ref="A15:H15"/>
    <x:mergeCell ref="A16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2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4" t="str">
        <x:v>PROJECT ORION — EXECUTIVE ENGINEERING DASHBOARD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</x:row>
    <x:row r="3">
      <x:c r="A3" s="88" t="str">
        <x:v>As-of date: 2026-07-30 | Sources: CMDB, Asset Register, IPAM, Firmware, Maintenance, Change, Risk, and Test Registers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</x:row>
    <x:row r="4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</x:row>
    <x:row r="5">
      <x:c r="A5" s="79" t="str">
        <x:v>Total CIs</x:v>
      </x:c>
      <x:c r="B5" s="79"/>
      <x:c r="C5" s="79"/>
      <x:c r="D5" s="79" t="str">
        <x:v>Physical Assets</x:v>
      </x:c>
      <x:c r="E5" s="79"/>
      <x:c r="F5" s="79"/>
      <x:c r="G5" s="79" t="str">
        <x:v>Managed IPs</x:v>
      </x:c>
      <x:c r="H5" s="79"/>
      <x:c r="I5" s="79"/>
      <x:c r="J5" s="79" t="str">
        <x:v>Firmware Compliance</x:v>
      </x:c>
      <x:c r="K5" s="79"/>
      <x:c r="L5" s="79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</x:row>
    <x:row r="6">
      <x:c r="A6" s="80" t="n">
        <x:f>COUNTA(CMDBTable[CI ID])</x:f>
        <x:v>14</x:v>
      </x:c>
      <x:c r="B6" s="80"/>
      <x:c r="C6" s="80"/>
      <x:c r="D6" s="80" t="n">
        <x:f>COUNTA(AssetsTable[Asset ID])</x:f>
        <x:v>9</x:v>
      </x:c>
      <x:c r="E6" s="80"/>
      <x:c r="F6" s="80"/>
      <x:c r="G6" s="80" t="n">
        <x:f>COUNTA(IPAMTable[IP ID])</x:f>
        <x:v>5</x:v>
      </x:c>
      <x:c r="H6" s="80"/>
      <x:c r="I6" s="80"/>
      <x:c r="J6" s="81" t="n">
        <x:f>IFERROR(COUNTIF(FirmwareTable[Compliance],"Compliant")/COUNTA(FirmwareTable[Firmware ID]),0)</x:f>
        <x:v>0.6</x:v>
      </x:c>
      <x:c r="K6" s="81"/>
      <x:c r="L6" s="81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</x:row>
    <x:row r="7">
      <x:c r="A7" s="80"/>
      <x:c r="B7" s="80"/>
      <x:c r="C7" s="80"/>
      <x:c r="D7" s="80"/>
      <x:c r="E7" s="80"/>
      <x:c r="F7" s="80"/>
      <x:c r="G7" s="80"/>
      <x:c r="H7" s="80"/>
      <x:c r="I7" s="80"/>
      <x:c r="J7" s="81"/>
      <x:c r="K7" s="81"/>
      <x:c r="L7" s="81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</x:row>
    <x:row r="8">
      <x:c r="A8" s="80"/>
      <x:c r="B8" s="80"/>
      <x:c r="C8" s="80"/>
      <x:c r="D8" s="80"/>
      <x:c r="E8" s="80"/>
      <x:c r="F8" s="80"/>
      <x:c r="G8" s="80"/>
      <x:c r="H8" s="80"/>
      <x:c r="I8" s="80"/>
      <x:c r="J8" s="81"/>
      <x:c r="K8" s="81"/>
      <x:c r="L8" s="81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</x:row>
    <x:row r="10">
      <x:c r="A10" s="79" t="str">
        <x:v>Open Risks</x:v>
      </x:c>
      <x:c r="B10" s="79"/>
      <x:c r="C10" s="79"/>
      <x:c r="D10" s="79" t="str">
        <x:v>Planned Changes</x:v>
      </x:c>
      <x:c r="E10" s="79"/>
      <x:c r="F10" s="79"/>
      <x:c r="G10" s="79" t="str">
        <x:v>Scheduled Maintenance</x:v>
      </x:c>
      <x:c r="H10" s="79"/>
      <x:c r="I10" s="79"/>
      <x:c r="J10" s="79" t="str">
        <x:v>Test Completion</x:v>
      </x:c>
      <x:c r="K10" s="79"/>
      <x:c r="L10" s="79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</x:row>
    <x:row r="11">
      <x:c r="A11" s="80" t="n">
        <x:f>COUNTIF(RisksTable[Status],"Open")</x:f>
        <x:v>3</x:v>
      </x:c>
      <x:c r="B11" s="80"/>
      <x:c r="C11" s="80"/>
      <x:c r="D11" s="80" t="n">
        <x:f>COUNTIF(ChangesTable[Status],"Planned")</x:f>
        <x:v>4</x:v>
      </x:c>
      <x:c r="E11" s="80"/>
      <x:c r="F11" s="80"/>
      <x:c r="G11" s="80" t="n">
        <x:f>COUNTIF(MaintenanceTable[Status],"Scheduled")</x:f>
        <x:v>5</x:v>
      </x:c>
      <x:c r="H11" s="80"/>
      <x:c r="I11" s="80"/>
      <x:c r="J11" s="81" t="n">
        <x:f>IFERROR(COUNTIF(TestsTable[Status],"Completed")/COUNTA(TestsTable[Test ID]),0)</x:f>
        <x:v>0</x:v>
      </x:c>
      <x:c r="K11" s="81"/>
      <x:c r="L11" s="81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</x:row>
    <x:row r="12">
      <x:c r="A12" s="80"/>
      <x:c r="B12" s="80"/>
      <x:c r="C12" s="80"/>
      <x:c r="D12" s="80"/>
      <x:c r="E12" s="80"/>
      <x:c r="F12" s="80"/>
      <x:c r="G12" s="80"/>
      <x:c r="H12" s="80"/>
      <x:c r="I12" s="80"/>
      <x:c r="J12" s="81"/>
      <x:c r="K12" s="81"/>
      <x:c r="L12" s="81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1"/>
      <x:c r="K13" s="81"/>
      <x:c r="L13" s="81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</x:row>
    <x:row r="16">
      <x:c r="A16" s="26" t="str">
        <x:v>CI Status</x:v>
      </x:c>
      <x:c r="B16" s="26" t="str">
        <x:v>Count</x:v>
      </x:c>
      <x:c r="C16" s="26" t="str">
        <x:v>Share</x:v>
      </x:c>
      <x:c r="D16" s="74"/>
      <x:c r="E16" s="26" t="str">
        <x:v>Risk Level</x:v>
      </x:c>
      <x:c r="F16" s="26" t="str">
        <x:v>Count</x:v>
      </x:c>
      <x:c r="G16" s="26" t="str">
        <x:v>Share</x:v>
      </x:c>
      <x:c r="H16" s="74"/>
      <x:c r="I16" s="26" t="str">
        <x:v>Domain</x:v>
      </x:c>
      <x:c r="J16" s="26" t="str">
        <x:v>Completed/Healthy</x:v>
      </x:c>
      <x:c r="K16" s="26" t="str">
        <x:v>Total</x:v>
      </x:c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</x:row>
    <x:row r="17">
      <x:c r="A17" s="74" t="str">
        <x:v>Active</x:v>
      </x:c>
      <x:c r="B17" s="74" t="n">
        <x:f>COUNTIF(CMDBTable[Operational Status],"Active")</x:f>
        <x:v>7</x:v>
      </x:c>
      <x:c r="C17" s="89" t="n">
        <x:f>B17/SUM($B$17:$B$18)</x:f>
        <x:v>0.5</x:v>
      </x:c>
      <x:c r="D17" s="74"/>
      <x:c r="E17" s="74" t="str">
        <x:v>Critical</x:v>
      </x:c>
      <x:c r="F17" s="74" t="n">
        <x:f>COUNTIF(RisksTable[Residual Risk],"Critical")</x:f>
        <x:v>0</x:v>
      </x:c>
      <x:c r="G17" s="89" t="n">
        <x:f>F17/SUM($F$17:$F$20)</x:f>
        <x:v>0</x:v>
      </x:c>
      <x:c r="H17" s="74"/>
      <x:c r="I17" s="74" t="str">
        <x:v>Firmware Compliant</x:v>
      </x:c>
      <x:c r="J17" s="74" t="n">
        <x:f>COUNTIF(FirmwareTable[Compliance],"Compliant")</x:f>
        <x:v>3</x:v>
      </x:c>
      <x:c r="K17" s="74" t="n">
        <x:f>COUNTA(FirmwareTable[Firmware ID])</x:f>
        <x:v>5</x:v>
      </x:c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</x:row>
    <x:row r="18">
      <x:c r="A18" s="74" t="str">
        <x:v>Planned</x:v>
      </x:c>
      <x:c r="B18" s="74" t="n">
        <x:f>COUNTIF(CMDBTable[Operational Status],"Planned")</x:f>
        <x:v>7</x:v>
      </x:c>
      <x:c r="C18" s="89" t="n">
        <x:f>B18/SUM($B$17:$B$18)</x:f>
        <x:v>0.5</x:v>
      </x:c>
      <x:c r="D18" s="74"/>
      <x:c r="E18" s="74" t="str">
        <x:v>High</x:v>
      </x:c>
      <x:c r="F18" s="74" t="n">
        <x:f>COUNTIF(RisksTable[Residual Risk],"High")</x:f>
        <x:v>0</x:v>
      </x:c>
      <x:c r="G18" s="89" t="n">
        <x:f>F18/SUM($F$17:$F$20)</x:f>
        <x:v>0</x:v>
      </x:c>
      <x:c r="H18" s="74"/>
      <x:c r="I18" s="74" t="str">
        <x:v>Maintenance Completed</x:v>
      </x:c>
      <x:c r="J18" s="74" t="n">
        <x:f>COUNTIF(MaintenanceTable[Status],"Completed")</x:f>
        <x:v>0</x:v>
      </x:c>
      <x:c r="K18" s="74" t="n">
        <x:f>COUNTA(MaintenanceTable[Maintenance ID])</x:f>
        <x:v>6</x:v>
      </x:c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</x:row>
    <x:row r="19">
      <x:c r="A19" s="74" t="str">
        <x:v>Other</x:v>
      </x:c>
      <x:c r="B19" s="74" t="n">
        <x:f>COUNTA(CMDBTable[CI ID])-SUM(B17:B18)</x:f>
        <x:v>0</x:v>
      </x:c>
      <x:c r="C19" s="89" t="n">
        <x:f>B19/SUM($B$17:$B$19)</x:f>
        <x:v>0</x:v>
      </x:c>
      <x:c r="D19" s="74"/>
      <x:c r="E19" s="74" t="str">
        <x:v>Medium</x:v>
      </x:c>
      <x:c r="F19" s="74" t="n">
        <x:f>COUNTIF(RisksTable[Residual Risk],"Medium")</x:f>
        <x:v>2</x:v>
      </x:c>
      <x:c r="G19" s="89" t="n">
        <x:f>F19/SUM($F$17:$F$20)</x:f>
        <x:v>0.4</x:v>
      </x:c>
      <x:c r="H19" s="74"/>
      <x:c r="I19" s="74" t="str">
        <x:v>Changes Closed</x:v>
      </x:c>
      <x:c r="J19" s="74" t="n">
        <x:f>COUNTIF(ChangesTable[Status],"Closed")+COUNTIF(ChangesTable[Status],"Implemented")</x:f>
        <x:v>0</x:v>
      </x:c>
      <x:c r="K19" s="74" t="n">
        <x:f>COUNTA(ChangesTable[Change ID])</x:f>
        <x:v>4</x:v>
      </x:c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</x:row>
    <x:row r="20">
      <x:c r="A20" s="74" t="str">
        <x:v>Total</x:v>
      </x:c>
      <x:c r="B20" s="74" t="n">
        <x:f>SUM(B17:B19)</x:f>
        <x:v>14</x:v>
      </x:c>
      <x:c r="C20" s="89" t="n">
        <x:f>SUM(C17:C19)</x:f>
        <x:v>1</x:v>
      </x:c>
      <x:c r="D20" s="74"/>
      <x:c r="E20" s="74" t="str">
        <x:v>Low</x:v>
      </x:c>
      <x:c r="F20" s="74" t="n">
        <x:f>COUNTIF(RisksTable[Residual Risk],"Low")</x:f>
        <x:v>3</x:v>
      </x:c>
      <x:c r="G20" s="89" t="n">
        <x:f>F20/SUM($F$17:$F$20)</x:f>
        <x:v>0.6</x:v>
      </x:c>
      <x:c r="H20" s="74"/>
      <x:c r="I20" s="74" t="str">
        <x:v>Tests Passed</x:v>
      </x:c>
      <x:c r="J20" s="74" t="n">
        <x:f>COUNTIF(TestsTable[Result],"Pass")</x:f>
        <x:v>0</x:v>
      </x:c>
      <x:c r="K20" s="74" t="n">
        <x:f>COUNTA(TestsTable[Test ID])</x:f>
        <x:v>6</x:v>
      </x:c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</x:row>
    <x:row r="21">
      <x:c r="A21" s="74"/>
      <x:c r="B21" s="74"/>
      <x:c r="C21" s="74"/>
      <x:c r="D21" s="74"/>
      <x:c r="E21" s="74" t="str">
        <x:v>Total</x:v>
      </x:c>
      <x:c r="F21" s="74" t="n">
        <x:f>SUM(F17:F20)</x:f>
        <x:v>5</x:v>
      </x:c>
      <x:c r="G21" s="89" t="n">
        <x:f>SUM(G17:G20)</x:f>
        <x:v>1</x:v>
      </x:c>
      <x:c r="H21" s="74"/>
      <x:c r="I21" s="74" t="str">
        <x:v>Assets Operational</x:v>
      </x:c>
      <x:c r="J21" s="74" t="n">
        <x:f>COUNTIF(AssetsTable[Lifecycle Status],"Operational")</x:f>
        <x:v>3</x:v>
      </x:c>
      <x:c r="K21" s="74" t="n">
        <x:f>COUNTA(AssetsTable[Asset ID])</x:f>
        <x:v>9</x:v>
      </x:c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</x:row>
    <x:row r="34">
      <x:c r="A34" s="27" t="str">
        <x:v>EXECUTIVE MANAGEMENT SUMMARY</x:v>
      </x:c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</x:row>
    <x:row r="35">
      <x:c r="A35" s="26" t="str">
        <x:v>Indicator</x:v>
      </x:c>
      <x:c r="B35" s="26" t="str">
        <x:v>Current Position</x:v>
      </x:c>
      <x:c r="C35" s="26" t="str">
        <x:v>Interpretation</x:v>
      </x:c>
      <x:c r="D35" s="26" t="str">
        <x:v>Action</x:v>
      </x:c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</x:row>
    <x:row r="36">
      <x:c r="A36" s="75" t="str">
        <x:v>Infrastructure Readiness</x:v>
      </x:c>
      <x:c r="B36" s="75" t="str">
        <x:f>COUNTIF(CMDBTable[Operational Status],"Active")&amp;" of "&amp;COUNTA(CMDBTable[CI ID])&amp;" CIs active"</x:f>
        <x:v>7 of 14 CIs active</x:v>
      </x:c>
      <x:c r="C36" s="75" t="str">
        <x:v>Core network services are active; several endpoint, server, and IoT CIs remain planned.</x:v>
      </x:c>
      <x:c r="D36" s="75" t="str">
        <x:v>Complete planned deployments and capture evidence.</x:v>
      </x:c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</x:row>
    <x:row r="37">
      <x:c r="A37" s="75" t="str">
        <x:v>Firmware Posture</x:v>
      </x:c>
      <x:c r="B37" s="75" t="str">
        <x:f>TEXT(COUNTIF(FirmwareTable[Compliance],"Compliant")/COUNTA(FirmwareTable[Firmware ID]),"0%")&amp;" compliant"</x:f>
        <x:v>60% compliant</x:v>
      </x:c>
      <x:c r="C37" s="75" t="str">
        <x:v>Installed core platforms are compliant; planned devices await installation and validation.</x:v>
      </x:c>
      <x:c r="D37" s="75" t="str">
        <x:v>Update firmware records after deployment.</x:v>
      </x:c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</x:row>
    <x:row r="38">
      <x:c r="A38" s="75" t="str">
        <x:v>Risk Exposure</x:v>
      </x:c>
      <x:c r="B38" s="75" t="str">
        <x:f>COUNTIF(RisksTable[Status],"Open")&amp;" open risks"</x:f>
        <x:v>3 open risks</x:v>
      </x:c>
      <x:c r="C38" s="75" t="str">
        <x:v>Primary exposure is concentrated in firmware, patching, and IoT access.</x:v>
      </x:c>
      <x:c r="D38" s="75" t="str">
        <x:v>Execute linked changes and treatment actions.</x:v>
      </x:c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</x:row>
    <x:row r="39">
      <x:c r="A39" s="75" t="str">
        <x:v>Operational Workload</x:v>
      </x:c>
      <x:c r="B39" s="75" t="str">
        <x:f>COUNTIF(MaintenanceTable[Status],"Scheduled")&amp;" maintenance tasks scheduled"</x:f>
        <x:v>5 maintenance tasks scheduled</x:v>
      </x:c>
      <x:c r="C39" s="75" t="str">
        <x:v>Maintenance workload is defined and traceable.</x:v>
      </x:c>
      <x:c r="D39" s="75" t="str">
        <x:v>Complete critical backup verification first.</x:v>
      </x:c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</x:row>
    <x:row r="40">
      <x:c r="A40" s="75" t="str">
        <x:v>Validation Readiness</x:v>
      </x:c>
      <x:c r="B40" s="75" t="str">
        <x:f>COUNTIF(TestsTable[Status],"Planned")&amp;" tests planned"</x:f>
        <x:v>6 tests planned</x:v>
      </x:c>
      <x:c r="C40" s="75" t="str">
        <x:v>Testing framework is ready, but no executions have been recorded.</x:v>
      </x:c>
      <x:c r="D40" s="75" t="str">
        <x:v>Execute tests and attach evidence before closing changes.</x:v>
      </x:c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A34:N34"/>
  </x:mergeCells>
  <x:conditionalFormatting sqref="B17:B19">
    <x:cfRule type="dataBar" priority="1">
      <x:dataBar>
        <x:cfvo type="min"/>
        <x:cfvo type="max"/>
        <x:color rgb="FF6B0F1A"/>
      </x:dataBar>
      <x:extLst>
        <x:ext xmlns:x14="http://schemas.microsoft.com/office/spreadsheetml/2009/9/main" uri="{B025F937-C7B1-47D3-B67F-A62EFF666E3E}">
          <x14:id>{37674001-CB96-8EAF-96E0-FCDFBEEE437A}</x14:id>
        </x:ext>
      </x:extLst>
    </x:cfRule>
  </x:conditionalFormatting>
  <x:conditionalFormatting sqref="F17:F20">
    <x:cfRule type="colorScale" priority="2">
      <x:colorScale>
        <x:cfvo type="min"/>
        <x:cfvo type="percentile" val="50"/>
        <x:cfvo type="max"/>
        <x:color rgb="FFD9EAD3"/>
        <x:color rgb="FFFCE5CD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6e656797432a461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7674001-CB96-8EAF-96E0-FCDFBEEE437A}">
            <x14:dataBar gradient="1">
              <x14:cfvo type="min"/>
              <x14:cfvo type="max"/>
              <x14:fillColor rgb="FF6B0F1A"/>
            </x14:dataBar>
          </x14:cfRule>
          <xm:sqref>B17:B19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8" hidden="0" customWidth="1"/>
  </x:cols>
  <x:sheetData>
    <x:row r="1">
      <x:c r="A1" s="24" t="str">
        <x:v>ENGINEERING DOMAIN SCORECARD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</x:row>
    <x:row r="4">
      <x:c r="A4" s="26" t="str">
        <x:v>Domain</x:v>
      </x:c>
      <x:c r="B4" s="26" t="str">
        <x:v>Primary Metric</x:v>
      </x:c>
      <x:c r="C4" s="26" t="str">
        <x:v>Current Value</x:v>
      </x:c>
      <x:c r="D4" s="26" t="str">
        <x:v>Score</x:v>
      </x:c>
      <x:c r="E4" s="26" t="str">
        <x:v>Health</x:v>
      </x:c>
      <x:c r="F4" s="26" t="str">
        <x:v>Management Comment</x:v>
      </x:c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</x:row>
    <x:row r="5">
      <x:c r="A5" s="75" t="str">
        <x:v>Configuration Management</x:v>
      </x:c>
      <x:c r="B5" s="75" t="str">
        <x:v>Active CIs / Total CIs</x:v>
      </x:c>
      <x:c r="C5" s="96" t="n">
        <x:f>COUNTIF(CMDBTable[Operational Status],"Active")/COUNTA(CMDBTable[CI ID])</x:f>
        <x:v>0.5</x:v>
      </x:c>
      <x:c r="D5" s="97" t="n">
        <x:f>C5*100</x:f>
        <x:v>50</x:v>
      </x:c>
      <x:c r="E5" s="75" t="str">
        <x:f>IF(D5&gt;=85,"Green",IF(D5&gt;=65,"Amber","Red"))</x:f>
        <x:v>Red</x:v>
      </x:c>
      <x:c r="F5" s="75" t="str">
        <x:v>Deployment is progressing; planned CIs should be activated with evidence.</x:v>
      </x:c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</x:row>
    <x:row r="6">
      <x:c r="A6" s="75" t="str">
        <x:v>Asset Management</x:v>
      </x:c>
      <x:c r="B6" s="75" t="str">
        <x:v>Operational Assets / Total Assets</x:v>
      </x:c>
      <x:c r="C6" s="96" t="n">
        <x:f>COUNTIF(AssetsTable[Lifecycle Status],"Operational")/COUNTA(AssetsTable[Asset ID])</x:f>
        <x:v>0.3333333333333333</x:v>
      </x:c>
      <x:c r="D6" s="97" t="n">
        <x:f>C6*100</x:f>
        <x:v>33.33333333333333</x:v>
      </x:c>
      <x:c r="E6" s="75" t="str">
        <x:f>IF(D6&gt;=85,"Green",IF(D6&gt;=65,"Amber","Red"))</x:f>
        <x:v>Red</x:v>
      </x:c>
      <x:c r="F6" s="75" t="str">
        <x:v>Procurement and lifecycle data should be completed for planned assets.</x:v>
      </x:c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</x:row>
    <x:row r="7">
      <x:c r="A7" s="75" t="str">
        <x:v>Network Management</x:v>
      </x:c>
      <x:c r="B7" s="75" t="str">
        <x:v>Active IPs / Total IPs</x:v>
      </x:c>
      <x:c r="C7" s="96" t="n">
        <x:f>COUNTIF(IPAMTable[Status],"Active")/COUNTA(IPAMTable[IP ID])</x:f>
        <x:v>0.2</x:v>
      </x:c>
      <x:c r="D7" s="97" t="n">
        <x:f>C7*100</x:f>
        <x:v>20</x:v>
      </x:c>
      <x:c r="E7" s="75" t="str">
        <x:f>IF(D7&gt;=85,"Green",IF(D7&gt;=65,"Amber","Red"))</x:f>
        <x:v>Red</x:v>
      </x:c>
      <x:c r="F7" s="75" t="str">
        <x:v>Reservations are defined; activate and validate planned network devices.</x:v>
      </x:c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</x:row>
    <x:row r="8">
      <x:c r="A8" s="75" t="str">
        <x:v>Firmware Compliance</x:v>
      </x:c>
      <x:c r="B8" s="75" t="str">
        <x:v>Compliant / Tracked</x:v>
      </x:c>
      <x:c r="C8" s="96" t="n">
        <x:f>COUNTIF(FirmwareTable[Compliance],"Compliant")/COUNTA(FirmwareTable[Firmware ID])</x:f>
        <x:v>0.6</x:v>
      </x:c>
      <x:c r="D8" s="97" t="n">
        <x:f>C8*100</x:f>
        <x:v>60</x:v>
      </x:c>
      <x:c r="E8" s="75" t="str">
        <x:f>IF(D8&gt;=85,"Green",IF(D8&gt;=65,"Amber","Red"))</x:f>
        <x:v>Red</x:v>
      </x:c>
      <x:c r="F8" s="75" t="str">
        <x:v>Core installed platforms are compliant.</x:v>
      </x:c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</x:row>
    <x:row r="9">
      <x:c r="A9" s="75" t="str">
        <x:v>Maintenance</x:v>
      </x:c>
      <x:c r="B9" s="75" t="str">
        <x:v>Completed / Total</x:v>
      </x:c>
      <x:c r="C9" s="96" t="n">
        <x:f>COUNTIF(MaintenanceTable[Status],"Completed")/COUNTA(MaintenanceTable[Maintenance ID])</x:f>
        <x:v>0</x:v>
      </x:c>
      <x:c r="D9" s="97" t="n">
        <x:f>C9*100</x:f>
        <x:v>0</x:v>
      </x:c>
      <x:c r="E9" s="75" t="str">
        <x:f>IF(D9&gt;=85,"Green",IF(D9&gt;=65,"Amber","Red"))</x:f>
        <x:v>Red</x:v>
      </x:c>
      <x:c r="F9" s="75" t="str">
        <x:v>Schedule is established; execution evidence remains outstanding.</x:v>
      </x:c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</x:row>
    <x:row r="10">
      <x:c r="A10" s="75" t="str">
        <x:v>Change Management</x:v>
      </x:c>
      <x:c r="B10" s="75" t="str">
        <x:v>Implemented or Closed / Total</x:v>
      </x:c>
      <x:c r="C10" s="96" t="n">
        <x:f>(COUNTIF(ChangesTable[Status],"Implemented")+COUNTIF(ChangesTable[Status],"Closed"))/COUNTA(ChangesTable[Change ID])</x:f>
        <x:v>0</x:v>
      </x:c>
      <x:c r="D10" s="97" t="n">
        <x:f>C10*100</x:f>
        <x:v>0</x:v>
      </x:c>
      <x:c r="E10" s="75" t="str">
        <x:f>IF(D10&gt;=85,"Green",IF(D10&gt;=65,"Amber","Red"))</x:f>
        <x:v>Red</x:v>
      </x:c>
      <x:c r="F10" s="75" t="str">
        <x:v>Planned changes require approval, execution, and PIR closure.</x:v>
      </x:c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</x:row>
    <x:row r="11">
      <x:c r="A11" s="75" t="str">
        <x:v>Risk Management</x:v>
      </x:c>
      <x:c r="B11" s="75" t="str">
        <x:v>Risks below High / Total</x:v>
      </x:c>
      <x:c r="C11" s="96" t="n">
        <x:f>(COUNTIF(RisksTable[Residual Risk],"Low")+COUNTIF(RisksTable[Residual Risk],"Medium"))/COUNTA(RisksTable[Risk ID])</x:f>
        <x:v>1</x:v>
      </x:c>
      <x:c r="D11" s="97" t="n">
        <x:f>C11*100</x:f>
        <x:v>100</x:v>
      </x:c>
      <x:c r="E11" s="75" t="str">
        <x:f>IF(D11&gt;=85,"Green",IF(D11&gt;=65,"Amber","Red"))</x:f>
        <x:v>Green</x:v>
      </x:c>
      <x:c r="F11" s="75" t="str">
        <x:v>Residual risk is controlled; open treatments should still be completed.</x:v>
      </x:c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</x:row>
    <x:row r="12">
      <x:c r="A12" s="75" t="str">
        <x:v>Testing &amp; Validation</x:v>
      </x:c>
      <x:c r="B12" s="75" t="str">
        <x:v>Passed / Total Tests</x:v>
      </x:c>
      <x:c r="C12" s="96" t="n">
        <x:f>COUNTIF(TestsTable[Result],"Pass")/COUNTA(TestsTable[Test ID])</x:f>
        <x:v>0</x:v>
      </x:c>
      <x:c r="D12" s="97" t="n">
        <x:f>C12*100</x:f>
        <x:v>0</x:v>
      </x:c>
      <x:c r="E12" s="75" t="str">
        <x:f>IF(D12&gt;=85,"Green",IF(D12&gt;=65,"Amber","Red"))</x:f>
        <x:v>Red</x:v>
      </x:c>
      <x:c r="F12" s="75" t="str">
        <x:v>Tests are planned but not yet executed.</x:v>
      </x:c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</x:row>
    <x:row r="13">
      <x:c r="A13" s="75"/>
      <x:c r="B13" s="75"/>
      <x:c r="C13" s="75"/>
      <x:c r="D13" s="75"/>
      <x:c r="E13" s="75"/>
      <x:c r="F13" s="75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</x:row>
    <x:row r="14">
      <x:c r="A14" s="26" t="str">
        <x:v>Overall Metric</x:v>
      </x:c>
      <x:c r="B14" s="26" t="str">
        <x:v>Value</x:v>
      </x:c>
      <x:c r="C14" s="26" t="str">
        <x:v>Interpretation</x:v>
      </x:c>
      <x:c r="D14" s="75"/>
      <x:c r="E14" s="75"/>
      <x:c r="F14" s="75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</x:row>
    <x:row r="15">
      <x:c r="A15" s="75" t="str">
        <x:v>Average Engineering Score</x:v>
      </x:c>
      <x:c r="B15" s="97" t="n">
        <x:f>AVERAGE(D5:D12)</x:f>
        <x:v>32.916666666666664</x:v>
      </x:c>
      <x:c r="C15" s="75" t="str">
        <x:f>IF(B15&gt;=85,"Green",IF(B15&gt;=65,"Amber","Red"))</x:f>
        <x:v>Red</x:v>
      </x:c>
      <x:c r="D15" s="75"/>
      <x:c r="E15" s="75"/>
      <x:c r="F15" s="75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</x:row>
    <x:row r="16">
      <x:c r="A16" s="75" t="str">
        <x:v>Green Domains</x:v>
      </x:c>
      <x:c r="B16" s="75" t="n">
        <x:f>COUNTIF(E5:E12,"Green")</x:f>
        <x:v>1</x:v>
      </x:c>
      <x:c r="C16" s="75" t="str">
        <x:v>Domains meeting target</x:v>
      </x:c>
      <x:c r="D16" s="75"/>
      <x:c r="E16" s="75"/>
      <x:c r="F16" s="75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</x:row>
    <x:row r="17">
      <x:c r="A17" s="75" t="str">
        <x:v>Amber Domains</x:v>
      </x:c>
      <x:c r="B17" s="75" t="n">
        <x:f>COUNTIF(E5:E12,"Amber")</x:f>
        <x:v>0</x:v>
      </x:c>
      <x:c r="C17" s="75" t="str">
        <x:v>Domains requiring attention</x:v>
      </x:c>
      <x:c r="D17" s="75"/>
      <x:c r="E17" s="75"/>
      <x:c r="F17" s="75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</x:row>
    <x:row r="18">
      <x:c r="A18" s="75" t="str">
        <x:v>Red Domains</x:v>
      </x:c>
      <x:c r="B18" s="75" t="n">
        <x:f>COUNTIF(E5:E12,"Red")</x:f>
        <x:v>7</x:v>
      </x:c>
      <x:c r="C18" s="75" t="str">
        <x:v>Domains requiring immediate action</x:v>
      </x:c>
      <x:c r="D18" s="75"/>
      <x:c r="E18" s="75"/>
      <x:c r="F18" s="75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</x:row>
  </x:sheetData>
  <x:mergeCells>
    <x:mergeCell ref="A1:J2"/>
  </x:mergeCells>
  <x:conditionalFormatting sqref="E5:E12">
    <x:cfRule type="expression" dxfId="0" priority="1">
      <x:formula>E5="Green"</x:formula>
    </x:cfRule>
    <x:cfRule type="expression" dxfId="1" priority="2">
      <x:formula>E5="Amber"</x:formula>
    </x:cfRule>
    <x:cfRule type="expression" dxfId="2" priority="3">
      <x:formula>E5="Red"</x:formula>
    </x:cfRule>
  </x:conditionalFormatting>
  <x:conditionalFormatting sqref="D5:D12">
    <x:cfRule type="dataBar" priority="4">
      <x:dataBar>
        <x:cfvo type="min"/>
        <x:cfvo type="max"/>
        <x:color rgb="FF6B0F1A"/>
      </x:dataBar>
      <x:extLst>
        <x:ext xmlns:x14="http://schemas.microsoft.com/office/spreadsheetml/2009/9/main" uri="{B025F937-C7B1-47D3-B67F-A62EFF666E3E}">
          <x14:id>{63E33E05-354E-1A3F-845E-90B7CBB877F0}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07eb687b257428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63E33E05-354E-1A3F-845E-90B7CBB877F0}">
            <x14:dataBar gradient="1">
              <x14:cfvo type="min"/>
              <x14:cfvo type="max"/>
              <x14:fillColor rgb="FF6B0F1A"/>
            </x14:dataBar>
          </x14:cfRule>
          <xm:sqref>D5:D12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4" t="str">
        <x:v>ACTION CENTER — ITEMS REQUIRING ATTENTION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</x:row>
    <x:row r="4">
      <x:c r="A4" s="26" t="str">
        <x:v>Priority</x:v>
      </x:c>
      <x:c r="B4" s="26" t="str">
        <x:v>Action ID</x:v>
      </x:c>
      <x:c r="C4" s="26" t="str">
        <x:v>Action</x:v>
      </x:c>
      <x:c r="D4" s="26" t="str">
        <x:v>Linked Record</x:v>
      </x:c>
      <x:c r="E4" s="26" t="str">
        <x:v>Target Date</x:v>
      </x:c>
      <x:c r="F4" s="26" t="str">
        <x:v>Status</x:v>
      </x:c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</x:row>
    <x:row r="5">
      <x:c r="A5" s="75" t="str">
        <x:v>Critical</x:v>
      </x:c>
      <x:c r="B5" s="75" t="str">
        <x:v>ACT-001</x:v>
      </x:c>
      <x:c r="C5" s="75" t="str">
        <x:v>Verify Home Assistant backups</x:v>
      </x:c>
      <x:c r="D5" s="75" t="str">
        <x:v>MNT-006</x:v>
      </x:c>
      <x:c r="E5" s="75" t="str">
        <x:v>2026-08-02</x:v>
      </x:c>
      <x:c r="F5" s="75" t="str">
        <x:v>Scheduled</x:v>
      </x:c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</x:row>
    <x:row r="6">
      <x:c r="A6" s="75" t="str">
        <x:v>High</x:v>
      </x:c>
      <x:c r="B6" s="75" t="str">
        <x:v>ACT-002</x:v>
      </x:c>
      <x:c r="C6" s="75" t="str">
        <x:v>Execute network connectivity test</x:v>
      </x:c>
      <x:c r="D6" s="75" t="str">
        <x:v>TST-006</x:v>
      </x:c>
      <x:c r="E6" s="75" t="str">
        <x:v>2026-08-01</x:v>
      </x:c>
      <x:c r="F6" s="75" t="str">
        <x:v>Planned</x:v>
      </x:c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</x:row>
    <x:row r="7">
      <x:c r="A7" s="75" t="str">
        <x:v>High</x:v>
      </x:c>
      <x:c r="B7" s="75" t="str">
        <x:v>ACT-003</x:v>
      </x:c>
      <x:c r="C7" s="75" t="str">
        <x:v>Deploy and functionally test video doorbell</x:v>
      </x:c>
      <x:c r="D7" s="75" t="str">
        <x:v>CHG-004 / TST-004</x:v>
      </x:c>
      <x:c r="E7" s="75" t="str">
        <x:v>2026-08-10</x:v>
      </x:c>
      <x:c r="F7" s="75" t="str">
        <x:v>Planned</x:v>
      </x:c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</x:row>
    <x:row r="8">
      <x:c r="A8" s="75" t="str">
        <x:v>High</x:v>
      </x:c>
      <x:c r="B8" s="75" t="str">
        <x:v>ACT-004</x:v>
      </x:c>
      <x:c r="C8" s="75" t="str">
        <x:v>Patch Windows 11 host and validate</x:v>
      </x:c>
      <x:c r="D8" s="75" t="str">
        <x:v>CHG-002 / TST-002</x:v>
      </x:c>
      <x:c r="E8" s="75" t="str">
        <x:v>2026-08-15</x:v>
      </x:c>
      <x:c r="F8" s="75" t="str">
        <x:v>Planned</x:v>
      </x:c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</x:row>
    <x:row r="9">
      <x:c r="A9" s="75" t="str">
        <x:v>High</x:v>
      </x:c>
      <x:c r="B9" s="75" t="str">
        <x:v>ACT-005</x:v>
      </x:c>
      <x:c r="C9" s="75" t="str">
        <x:v>Upgrade Home Assistant and validate restore</x:v>
      </x:c>
      <x:c r="D9" s="75" t="str">
        <x:v>CHG-003 / TST-003</x:v>
      </x:c>
      <x:c r="E9" s="75" t="str">
        <x:v>2026-08-20</x:v>
      </x:c>
      <x:c r="F9" s="75" t="str">
        <x:v>Planned</x:v>
      </x:c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</x:row>
    <x:row r="10">
      <x:c r="A10" s="75" t="str">
        <x:v>Medium</x:v>
      </x:c>
      <x:c r="B10" s="75" t="str">
        <x:v>ACT-006</x:v>
      </x:c>
      <x:c r="C10" s="75" t="str">
        <x:v>Complete IoT access risk treatment</x:v>
      </x:c>
      <x:c r="D10" s="75" t="str">
        <x:v>RSK-005</x:v>
      </x:c>
      <x:c r="E10" s="75" t="str">
        <x:v>2026-09-30</x:v>
      </x:c>
      <x:c r="F10" s="75" t="str">
        <x:v>Open</x:v>
      </x:c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</x:row>
    <x:row r="11">
      <x:c r="A11" s="75"/>
      <x:c r="B11" s="75"/>
      <x:c r="C11" s="75"/>
      <x:c r="D11" s="75"/>
      <x:c r="E11" s="75"/>
      <x:c r="F11" s="75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</x:row>
    <x:row r="12">
      <x:c r="A12" s="35" t="str">
        <x:v>TOP OPEN RISKS</x:v>
      </x:c>
      <x:c r="B12" s="35"/>
      <x:c r="C12" s="35"/>
      <x:c r="D12" s="35"/>
      <x:c r="E12" s="35"/>
      <x:c r="F12" s="35"/>
      <x:c r="G12" s="27"/>
      <x:c r="H12" s="27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</x:row>
    <x:row r="13">
      <x:c r="A13" s="26" t="str">
        <x:v>Risk ID</x:v>
      </x:c>
      <x:c r="B13" s="26" t="str">
        <x:v>Title</x:v>
      </x:c>
      <x:c r="C13" s="26" t="str">
        <x:v>Residual Risk</x:v>
      </x:c>
      <x:c r="D13" s="26" t="str">
        <x:v>Status</x:v>
      </x:c>
      <x:c r="E13" s="26" t="str">
        <x:v>Review Date</x:v>
      </x:c>
      <x:c r="F13" s="75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</x:row>
    <x:row r="14">
      <x:c r="A14" s="75" t="str">
        <x:v>RSK-001</x:v>
      </x:c>
      <x:c r="B14" s="75" t="str">
        <x:v>Router firmware vulnerability</x:v>
      </x:c>
      <x:c r="C14" s="75" t="str">
        <x:v>Medium</x:v>
      </x:c>
      <x:c r="D14" s="75" t="str">
        <x:v>Open</x:v>
      </x:c>
      <x:c r="E14" s="75" t="str">
        <x:v>2026-10-30</x:v>
      </x:c>
      <x:c r="F14" s="75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</x:row>
    <x:row r="15">
      <x:c r="A15" s="75" t="str">
        <x:v>RSK-002</x:v>
      </x:c>
      <x:c r="B15" s="75" t="str">
        <x:v>Server patch backlog</x:v>
      </x:c>
      <x:c r="C15" s="75" t="str">
        <x:v>Low</x:v>
      </x:c>
      <x:c r="D15" s="75" t="str">
        <x:v>Open</x:v>
      </x:c>
      <x:c r="E15" s="75" t="str">
        <x:v>2026-08-31</x:v>
      </x:c>
      <x:c r="F15" s="75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</x:row>
    <x:row r="16">
      <x:c r="A16" s="75" t="str">
        <x:v>RSK-003</x:v>
      </x:c>
      <x:c r="B16" s="75" t="str">
        <x:v>Home Assistant backup failure</x:v>
      </x:c>
      <x:c r="C16" s="75" t="str">
        <x:v>Low</x:v>
      </x:c>
      <x:c r="D16" s="75" t="str">
        <x:v>Monitoring</x:v>
      </x:c>
      <x:c r="E16" s="75" t="str">
        <x:v>2026-08-31</x:v>
      </x:c>
      <x:c r="F16" s="75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</x:row>
    <x:row r="17">
      <x:c r="A17" s="75" t="str">
        <x:v>RSK-004</x:v>
      </x:c>
      <x:c r="B17" s="75" t="str">
        <x:v>Camera outage</x:v>
      </x:c>
      <x:c r="C17" s="75" t="str">
        <x:v>Low</x:v>
      </x:c>
      <x:c r="D17" s="75" t="str">
        <x:v>Monitoring</x:v>
      </x:c>
      <x:c r="E17" s="75" t="str">
        <x:v>2026-09-30</x:v>
      </x:c>
      <x:c r="F17" s="75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</x:row>
    <x:row r="18">
      <x:c r="A18" s="75" t="str">
        <x:v>RSK-005</x:v>
      </x:c>
      <x:c r="B18" s="75" t="str">
        <x:v>Unauthorized IoT access</x:v>
      </x:c>
      <x:c r="C18" s="75" t="str">
        <x:v>Medium</x:v>
      </x:c>
      <x:c r="D18" s="75" t="str">
        <x:v>Open</x:v>
      </x:c>
      <x:c r="E18" s="75" t="str">
        <x:v>2026-09-30</x:v>
      </x:c>
      <x:c r="F18" s="75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</x:row>
  </x:sheetData>
  <x:mergeCells>
    <x:mergeCell ref="A1:L2"/>
    <x:mergeCell ref="A12:H12"/>
  </x:mergeCells>
  <x:conditionalFormatting sqref="A5:A10">
    <x:cfRule type="expression" dxfId="3" priority="1">
      <x:formula>A5="Critical"</x:formula>
    </x:cfRule>
    <x:cfRule type="expression" dxfId="4" priority="2">
      <x:formula>A5="High"</x:formula>
    </x:cfRule>
    <x:cfRule type="expression" dxfId="5" priority="3">
      <x:formula>A5="Medium"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42e66fbcd446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34" t="str">
        <x:v>CONSOLIDATED SOURCE DATA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74"/>
      <x:c r="R2" s="74"/>
      <x:c r="S2" s="74"/>
      <x:c r="T2" s="74"/>
      <x:c r="U2" s="74"/>
      <x:c r="V2" s="74"/>
      <x:c r="W2" s="74"/>
      <x:c r="X2" s="74"/>
      <x:c r="Y2" s="74"/>
      <x:c r="Z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4"/>
      <x:c r="R3" s="74"/>
      <x:c r="S3" s="74"/>
      <x:c r="T3" s="74"/>
      <x:c r="U3" s="74"/>
      <x:c r="V3" s="74"/>
      <x:c r="W3" s="74"/>
      <x:c r="X3" s="74"/>
      <x:c r="Y3" s="74"/>
      <x:c r="Z3" s="74"/>
    </x:row>
    <x:row r="4">
      <x:c r="A4" s="35" t="str">
        <x:v>Configuration Items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74"/>
      <x:c r="R4" s="74"/>
      <x:c r="S4" s="74"/>
      <x:c r="T4" s="74"/>
      <x:c r="U4" s="74"/>
      <x:c r="V4" s="74"/>
      <x:c r="W4" s="74"/>
      <x:c r="X4" s="74"/>
      <x:c r="Y4" s="74"/>
      <x:c r="Z4" s="74"/>
    </x:row>
    <x:row r="5">
      <x:c r="A5" s="26" t="str">
        <x:v>CI ID</x:v>
      </x:c>
      <x:c r="B5" s="26" t="str">
        <x:v>Asset Name</x:v>
      </x:c>
      <x:c r="C5" s="26" t="str">
        <x:v>CI Category</x:v>
      </x:c>
      <x:c r="D5" s="26" t="str">
        <x:v>CI Type</x:v>
      </x:c>
      <x:c r="E5" s="26" t="str">
        <x:v>Operational Status</x:v>
      </x:c>
      <x:c r="F5" s="26" t="str">
        <x:v>Lifecycle Status</x:v>
      </x:c>
      <x:c r="G5" s="26" t="str">
        <x:v>Criticality</x:v>
      </x:c>
      <x:c r="H5" s="75"/>
      <x:c r="I5" s="75"/>
      <x:c r="J5" s="75"/>
      <x:c r="K5" s="75"/>
      <x:c r="L5" s="75"/>
      <x:c r="M5" s="75"/>
      <x:c r="N5" s="75"/>
      <x:c r="O5" s="75"/>
      <x:c r="P5" s="75"/>
      <x:c r="Q5" s="74"/>
      <x:c r="R5" s="74"/>
      <x:c r="S5" s="74"/>
      <x:c r="T5" s="74"/>
      <x:c r="U5" s="74"/>
      <x:c r="V5" s="74"/>
      <x:c r="W5" s="74"/>
      <x:c r="X5" s="74"/>
      <x:c r="Y5" s="74"/>
      <x:c r="Z5" s="74"/>
    </x:row>
    <x:row r="6">
      <x:c r="A6" s="75" t="str">
        <x:v>CI-001</x:v>
      </x:c>
      <x:c r="B6" s="75" t="str">
        <x:v>Verizon Fios ONT</x:v>
      </x:c>
      <x:c r="C6" s="75" t="str">
        <x:v>Network</x:v>
      </x:c>
      <x:c r="D6" s="75" t="str">
        <x:v>ONT</x:v>
      </x:c>
      <x:c r="E6" s="75" t="str">
        <x:v>Active</x:v>
      </x:c>
      <x:c r="F6" s="75" t="str">
        <x:v>Operational</x:v>
      </x:c>
      <x:c r="G6" s="75" t="str">
        <x:v>Critical</x:v>
      </x:c>
      <x:c r="H6" s="75"/>
      <x:c r="I6" s="75"/>
      <x:c r="J6" s="75"/>
      <x:c r="K6" s="75"/>
      <x:c r="L6" s="75"/>
      <x:c r="M6" s="75"/>
      <x:c r="N6" s="75"/>
      <x:c r="O6" s="75"/>
      <x:c r="P6" s="75"/>
      <x:c r="Q6" s="74"/>
      <x:c r="R6" s="74"/>
      <x:c r="S6" s="74"/>
      <x:c r="T6" s="74"/>
      <x:c r="U6" s="74"/>
      <x:c r="V6" s="74"/>
      <x:c r="W6" s="74"/>
      <x:c r="X6" s="74"/>
      <x:c r="Y6" s="74"/>
      <x:c r="Z6" s="74"/>
    </x:row>
    <x:row r="7">
      <x:c r="A7" s="75" t="str">
        <x:v>CI-002</x:v>
      </x:c>
      <x:c r="B7" s="75" t="str">
        <x:v>Verizon CR1000A Router</x:v>
      </x:c>
      <x:c r="C7" s="75" t="str">
        <x:v>Network</x:v>
      </x:c>
      <x:c r="D7" s="75" t="str">
        <x:v>Router</x:v>
      </x:c>
      <x:c r="E7" s="75" t="str">
        <x:v>Active</x:v>
      </x:c>
      <x:c r="F7" s="75" t="str">
        <x:v>Operational</x:v>
      </x:c>
      <x:c r="G7" s="75" t="str">
        <x:v>High</x:v>
      </x:c>
      <x:c r="H7" s="75"/>
      <x:c r="I7" s="75"/>
      <x:c r="J7" s="75"/>
      <x:c r="K7" s="75"/>
      <x:c r="L7" s="75"/>
      <x:c r="M7" s="75"/>
      <x:c r="N7" s="75"/>
      <x:c r="O7" s="75"/>
      <x:c r="P7" s="75"/>
      <x:c r="Q7" s="74"/>
      <x:c r="R7" s="74"/>
      <x:c r="S7" s="74"/>
      <x:c r="T7" s="74"/>
      <x:c r="U7" s="74"/>
      <x:c r="V7" s="74"/>
      <x:c r="W7" s="74"/>
      <x:c r="X7" s="74"/>
      <x:c r="Y7" s="74"/>
      <x:c r="Z7" s="74"/>
    </x:row>
    <x:row r="8">
      <x:c r="A8" s="75" t="str">
        <x:v>CI-003</x:v>
      </x:c>
      <x:c r="B8" s="75" t="str">
        <x:v>GL.iNet Flint 2</x:v>
      </x:c>
      <x:c r="C8" s="75" t="str">
        <x:v>Network</x:v>
      </x:c>
      <x:c r="D8" s="75" t="str">
        <x:v>Router</x:v>
      </x:c>
      <x:c r="E8" s="75" t="str">
        <x:v>Active</x:v>
      </x:c>
      <x:c r="F8" s="75" t="str">
        <x:v>Operational</x:v>
      </x:c>
      <x:c r="G8" s="75" t="str">
        <x:v>Critical</x:v>
      </x:c>
      <x:c r="H8" s="75"/>
      <x:c r="I8" s="75"/>
      <x:c r="J8" s="75"/>
      <x:c r="K8" s="75"/>
      <x:c r="L8" s="75"/>
      <x:c r="M8" s="75"/>
      <x:c r="N8" s="75"/>
      <x:c r="O8" s="75"/>
      <x:c r="P8" s="75"/>
      <x:c r="Q8" s="74"/>
      <x:c r="R8" s="74"/>
      <x:c r="S8" s="74"/>
      <x:c r="T8" s="74"/>
      <x:c r="U8" s="74"/>
      <x:c r="V8" s="74"/>
      <x:c r="W8" s="74"/>
      <x:c r="X8" s="74"/>
      <x:c r="Y8" s="74"/>
      <x:c r="Z8" s="74"/>
    </x:row>
    <x:row r="9">
      <x:c r="A9" s="75" t="str">
        <x:v>CI-004</x:v>
      </x:c>
      <x:c r="B9" s="75" t="str">
        <x:v>Dell OptiPlex 7060 Micro</x:v>
      </x:c>
      <x:c r="C9" s="75" t="str">
        <x:v>Compute</x:v>
      </x:c>
      <x:c r="D9" s="75" t="str">
        <x:v>Server</x:v>
      </x:c>
      <x:c r="E9" s="75" t="str">
        <x:v>Planned</x:v>
      </x:c>
      <x:c r="F9" s="75" t="str">
        <x:v>Planned</x:v>
      </x:c>
      <x:c r="G9" s="75" t="str">
        <x:v>High</x:v>
      </x:c>
      <x:c r="H9" s="75"/>
      <x:c r="I9" s="75"/>
      <x:c r="J9" s="75"/>
      <x:c r="K9" s="75"/>
      <x:c r="L9" s="75"/>
      <x:c r="M9" s="75"/>
      <x:c r="N9" s="75"/>
      <x:c r="O9" s="75"/>
      <x:c r="P9" s="75"/>
      <x:c r="Q9" s="74"/>
      <x:c r="R9" s="74"/>
      <x:c r="S9" s="74"/>
      <x:c r="T9" s="74"/>
      <x:c r="U9" s="74"/>
      <x:c r="V9" s="74"/>
      <x:c r="W9" s="74"/>
      <x:c r="X9" s="74"/>
      <x:c r="Y9" s="74"/>
      <x:c r="Z9" s="74"/>
    </x:row>
    <x:row r="10">
      <x:c r="A10" s="75" t="str">
        <x:v>CI-005</x:v>
      </x:c>
      <x:c r="B10" s="75" t="str">
        <x:v>Samsung Galaxy Tab A9+</x:v>
      </x:c>
      <x:c r="C10" s="75" t="str">
        <x:v>Endpoint</x:v>
      </x:c>
      <x:c r="D10" s="75" t="str">
        <x:v>Tablet</x:v>
      </x:c>
      <x:c r="E10" s="75" t="str">
        <x:v>Planned</x:v>
      </x:c>
      <x:c r="F10" s="75" t="str">
        <x:v>Planned</x:v>
      </x:c>
      <x:c r="G10" s="75" t="str">
        <x:v>Medium</x:v>
      </x:c>
      <x:c r="H10" s="75"/>
      <x:c r="I10" s="75"/>
      <x:c r="J10" s="75"/>
      <x:c r="K10" s="75"/>
      <x:c r="L10" s="75"/>
      <x:c r="M10" s="75"/>
      <x:c r="N10" s="75"/>
      <x:c r="O10" s="75"/>
      <x:c r="P10" s="75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</x:row>
    <x:row r="11">
      <x:c r="A11" s="75" t="str">
        <x:v>CI-006</x:v>
      </x:c>
      <x:c r="B11" s="75" t="str">
        <x:v>Home Assistant OS</x:v>
      </x:c>
      <x:c r="C11" s="75" t="str">
        <x:v>Software</x:v>
      </x:c>
      <x:c r="D11" s="75" t="str">
        <x:v>Operating System</x:v>
      </x:c>
      <x:c r="E11" s="75" t="str">
        <x:v>Planned</x:v>
      </x:c>
      <x:c r="F11" s="75" t="str">
        <x:v>Planned</x:v>
      </x:c>
      <x:c r="G11" s="75" t="str">
        <x:v>Critical</x:v>
      </x:c>
      <x:c r="H11" s="75"/>
      <x:c r="I11" s="75"/>
      <x:c r="J11" s="75"/>
      <x:c r="K11" s="75"/>
      <x:c r="L11" s="75"/>
      <x:c r="M11" s="75"/>
      <x:c r="N11" s="75"/>
      <x:c r="O11" s="75"/>
      <x:c r="P11" s="75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</x:row>
    <x:row r="12">
      <x:c r="A12" s="75" t="str">
        <x:v>CI-007</x:v>
      </x:c>
      <x:c r="B12" s="75" t="str">
        <x:v>Reolink Wi-Fi Video Doorbell</x:v>
      </x:c>
      <x:c r="C12" s="75" t="str">
        <x:v>Security</x:v>
      </x:c>
      <x:c r="D12" s="75" t="str">
        <x:v>Doorbell Camera</x:v>
      </x:c>
      <x:c r="E12" s="75" t="str">
        <x:v>Planned</x:v>
      </x:c>
      <x:c r="F12" s="75" t="str">
        <x:v>Planned</x:v>
      </x:c>
      <x:c r="G12" s="75" t="str">
        <x:v>High</x:v>
      </x:c>
      <x:c r="H12" s="75"/>
      <x:c r="I12" s="75"/>
      <x:c r="J12" s="75"/>
      <x:c r="K12" s="75"/>
      <x:c r="L12" s="75"/>
      <x:c r="M12" s="75"/>
      <x:c r="N12" s="75"/>
      <x:c r="O12" s="75"/>
      <x:c r="P12" s="75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</x:row>
    <x:row r="13">
      <x:c r="A13" s="75" t="str">
        <x:v>CI-008</x:v>
      </x:c>
      <x:c r="B13" s="75" t="str">
        <x:v>Reolink E1 Outdoor Pro</x:v>
      </x:c>
      <x:c r="C13" s="75" t="str">
        <x:v>Security</x:v>
      </x:c>
      <x:c r="D13" s="75" t="str">
        <x:v>Camera</x:v>
      </x:c>
      <x:c r="E13" s="75" t="str">
        <x:v>Planned</x:v>
      </x:c>
      <x:c r="F13" s="75" t="str">
        <x:v>Planned</x:v>
      </x:c>
      <x:c r="G13" s="75" t="str">
        <x:v>High</x:v>
      </x:c>
      <x:c r="H13" s="75"/>
      <x:c r="I13" s="75"/>
      <x:c r="J13" s="75"/>
      <x:c r="K13" s="75"/>
      <x:c r="L13" s="75"/>
      <x:c r="M13" s="75"/>
      <x:c r="N13" s="75"/>
      <x:c r="O13" s="75"/>
      <x:c r="P13" s="75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</x:row>
    <x:row r="14">
      <x:c r="A14" s="75" t="str">
        <x:v>CI-009</x:v>
      </x:c>
      <x:c r="B14" s="75" t="str">
        <x:v>SONOFF Zigbee Door/Window Sensors</x:v>
      </x:c>
      <x:c r="C14" s="75" t="str">
        <x:v>IoT</x:v>
      </x:c>
      <x:c r="D14" s="75" t="str">
        <x:v>Sensor</x:v>
      </x:c>
      <x:c r="E14" s="75" t="str">
        <x:v>Planned</x:v>
      </x:c>
      <x:c r="F14" s="75" t="str">
        <x:v>Planned</x:v>
      </x:c>
      <x:c r="G14" s="75" t="str">
        <x:v>Medium</x:v>
      </x:c>
      <x:c r="H14" s="75"/>
      <x:c r="I14" s="75"/>
      <x:c r="J14" s="75"/>
      <x:c r="K14" s="75"/>
      <x:c r="L14" s="75"/>
      <x:c r="M14" s="75"/>
      <x:c r="N14" s="75"/>
      <x:c r="O14" s="75"/>
      <x:c r="P14" s="75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</x:row>
    <x:row r="15">
      <x:c r="A15" s="75" t="str">
        <x:v>CI-010</x:v>
      </x:c>
      <x:c r="B15" s="75" t="str">
        <x:v>SONOFF Zigbee Motion Sensor</x:v>
      </x:c>
      <x:c r="C15" s="75" t="str">
        <x:v>IoT</x:v>
      </x:c>
      <x:c r="D15" s="75" t="str">
        <x:v>Sensor</x:v>
      </x:c>
      <x:c r="E15" s="75" t="str">
        <x:v>Planned</x:v>
      </x:c>
      <x:c r="F15" s="75" t="str">
        <x:v>Planned</x:v>
      </x:c>
      <x:c r="G15" s="75" t="str">
        <x:v>Medium</x:v>
      </x:c>
      <x:c r="H15" s="75"/>
      <x:c r="I15" s="75"/>
      <x:c r="J15" s="75"/>
      <x:c r="K15" s="75"/>
      <x:c r="L15" s="75"/>
      <x:c r="M15" s="75"/>
      <x:c r="N15" s="75"/>
      <x:c r="O15" s="75"/>
      <x:c r="P15" s="75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</x:row>
    <x:row r="16">
      <x:c r="A16" s="75" t="str">
        <x:v>CI-011</x:v>
      </x:c>
      <x:c r="B16" s="75" t="str">
        <x:v>Project Orion LAN</x:v>
      </x:c>
      <x:c r="C16" s="75" t="str">
        <x:v>Logical</x:v>
      </x:c>
      <x:c r="D16" s="75" t="str">
        <x:v>Network</x:v>
      </x:c>
      <x:c r="E16" s="75" t="str">
        <x:v>Active</x:v>
      </x:c>
      <x:c r="F16" s="75" t="str">
        <x:v>Operational</x:v>
      </x:c>
      <x:c r="G16" s="75" t="str">
        <x:v>Critical</x:v>
      </x:c>
      <x:c r="H16" s="75"/>
      <x:c r="I16" s="75"/>
      <x:c r="J16" s="75"/>
      <x:c r="K16" s="75"/>
      <x:c r="L16" s="75"/>
      <x:c r="M16" s="75"/>
      <x:c r="N16" s="75"/>
      <x:c r="O16" s="75"/>
      <x:c r="P16" s="75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</x:row>
    <x:row r="17">
      <x:c r="A17" s="75" t="str">
        <x:v>CI-012</x:v>
      </x:c>
      <x:c r="B17" s="75" t="str">
        <x:v>DHCP Service</x:v>
      </x:c>
      <x:c r="C17" s="75" t="str">
        <x:v>Service</x:v>
      </x:c>
      <x:c r="D17" s="75" t="str">
        <x:v>Network Service</x:v>
      </x:c>
      <x:c r="E17" s="75" t="str">
        <x:v>Active</x:v>
      </x:c>
      <x:c r="F17" s="75" t="str">
        <x:v>Operational</x:v>
      </x:c>
      <x:c r="G17" s="75" t="str">
        <x:v>High</x:v>
      </x:c>
      <x:c r="H17" s="75"/>
      <x:c r="I17" s="75"/>
      <x:c r="J17" s="75"/>
      <x:c r="K17" s="75"/>
      <x:c r="L17" s="75"/>
      <x:c r="M17" s="75"/>
      <x:c r="N17" s="75"/>
      <x:c r="O17" s="75"/>
      <x:c r="P17" s="75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</x:row>
    <x:row r="18">
      <x:c r="A18" s="75" t="str">
        <x:v>CI-013</x:v>
      </x:c>
      <x:c r="B18" s="75" t="str">
        <x:v>DNS Service</x:v>
      </x:c>
      <x:c r="C18" s="75" t="str">
        <x:v>Service</x:v>
      </x:c>
      <x:c r="D18" s="75" t="str">
        <x:v>Network Service</x:v>
      </x:c>
      <x:c r="E18" s="75" t="str">
        <x:v>Active</x:v>
      </x:c>
      <x:c r="F18" s="75" t="str">
        <x:v>Operational</x:v>
      </x:c>
      <x:c r="G18" s="75" t="str">
        <x:v>High</x:v>
      </x:c>
      <x:c r="H18" s="75"/>
      <x:c r="I18" s="75"/>
      <x:c r="J18" s="75"/>
      <x:c r="K18" s="75"/>
      <x:c r="L18" s="75"/>
      <x:c r="M18" s="75"/>
      <x:c r="N18" s="75"/>
      <x:c r="O18" s="75"/>
      <x:c r="P18" s="75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</x:row>
    <x:row r="19">
      <x:c r="A19" s="75" t="str">
        <x:v>CI-014</x:v>
      </x:c>
      <x:c r="B19" s="75" t="str">
        <x:v>Project Orion Firewall Policy</x:v>
      </x:c>
      <x:c r="C19" s="75" t="str">
        <x:v>Security</x:v>
      </x:c>
      <x:c r="D19" s="75" t="str">
        <x:v>Firewall Policy</x:v>
      </x:c>
      <x:c r="E19" s="75" t="str">
        <x:v>Active</x:v>
      </x:c>
      <x:c r="F19" s="75" t="str">
        <x:v>Operational</x:v>
      </x:c>
      <x:c r="G19" s="75" t="str">
        <x:v>Critical</x:v>
      </x:c>
      <x:c r="H19" s="75"/>
      <x:c r="I19" s="75"/>
      <x:c r="J19" s="75"/>
      <x:c r="K19" s="75"/>
      <x:c r="L19" s="75"/>
      <x:c r="M19" s="75"/>
      <x:c r="N19" s="75"/>
      <x:c r="O19" s="75"/>
      <x:c r="P19" s="75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</x:row>
    <x:row r="20">
      <x:c r="A20" s="75"/>
      <x:c r="B20" s="75"/>
      <x:c r="C20" s="75"/>
      <x:c r="D20" s="75"/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</x:row>
    <x:row r="21">
      <x:c r="A21" s="35" t="str">
        <x:v>Physical Assets</x:v>
      </x:c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</x:row>
    <x:row r="22">
      <x:c r="A22" s="26" t="str">
        <x:v>Asset ID</x:v>
      </x:c>
      <x:c r="B22" s="26" t="str">
        <x:v>Linked CI ID</x:v>
      </x:c>
      <x:c r="C22" s="26" t="str">
        <x:v>Asset Name</x:v>
      </x:c>
      <x:c r="D22" s="26" t="str">
        <x:v>Category</x:v>
      </x:c>
      <x:c r="E22" s="26" t="str">
        <x:v>Vendor</x:v>
      </x:c>
      <x:c r="F22" s="26" t="str">
        <x:v>Lifecycle Status</x:v>
      </x:c>
      <x:c r="G22" s="26" t="str">
        <x:v>Purchase Cost</x:v>
      </x:c>
      <x:c r="H22" s="75"/>
      <x:c r="I22" s="75"/>
      <x:c r="J22" s="75"/>
      <x:c r="K22" s="75"/>
      <x:c r="L22" s="75"/>
      <x:c r="M22" s="75"/>
      <x:c r="N22" s="75"/>
      <x:c r="O22" s="75"/>
      <x:c r="P22" s="75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</x:row>
    <x:row r="23">
      <x:c r="A23" s="75" t="str">
        <x:v>AST-001</x:v>
      </x:c>
      <x:c r="B23" s="75" t="str">
        <x:v>CI-001</x:v>
      </x:c>
      <x:c r="C23" s="75" t="str">
        <x:v>Verizon ONT</x:v>
      </x:c>
      <x:c r="D23" s="75" t="str">
        <x:v>Network</x:v>
      </x:c>
      <x:c r="E23" s="75" t="str">
        <x:v>Verizon</x:v>
      </x:c>
      <x:c r="F23" s="75" t="str">
        <x:v>Operational</x:v>
      </x:c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</x:row>
    <x:row r="24">
      <x:c r="A24" s="75" t="str">
        <x:v>AST-002</x:v>
      </x:c>
      <x:c r="B24" s="75" t="str">
        <x:v>CI-002</x:v>
      </x:c>
      <x:c r="C24" s="75" t="str">
        <x:v>Verizon CR1000A</x:v>
      </x:c>
      <x:c r="D24" s="75" t="str">
        <x:v>Network</x:v>
      </x:c>
      <x:c r="E24" s="75" t="str">
        <x:v>Verizon</x:v>
      </x:c>
      <x:c r="F24" s="75" t="str">
        <x:v>Operational</x:v>
      </x:c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</x:row>
    <x:row r="25">
      <x:c r="A25" s="75" t="str">
        <x:v>AST-003</x:v>
      </x:c>
      <x:c r="B25" s="75" t="str">
        <x:v>CI-003</x:v>
      </x:c>
      <x:c r="C25" s="75" t="str">
        <x:v>GL.iNet Flint 2</x:v>
      </x:c>
      <x:c r="D25" s="75" t="str">
        <x:v>Network</x:v>
      </x:c>
      <x:c r="E25" s="75" t="str">
        <x:v>GL.iNet</x:v>
      </x:c>
      <x:c r="F25" s="75" t="str">
        <x:v>Operational</x:v>
      </x:c>
      <x:c r="G25" s="75" t="n">
        <x:v>159.99</x:v>
      </x:c>
      <x:c r="H25" s="75"/>
      <x:c r="I25" s="75"/>
      <x:c r="J25" s="75"/>
      <x:c r="K25" s="75"/>
      <x:c r="L25" s="75"/>
      <x:c r="M25" s="75"/>
      <x:c r="N25" s="75"/>
      <x:c r="O25" s="75"/>
      <x:c r="P25" s="75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</x:row>
    <x:row r="26">
      <x:c r="A26" s="75" t="str">
        <x:v>AST-004</x:v>
      </x:c>
      <x:c r="B26" s="75" t="str">
        <x:v>CI-004</x:v>
      </x:c>
      <x:c r="C26" s="75" t="str">
        <x:v>Dell OptiPlex 7060 Micro</x:v>
      </x:c>
      <x:c r="D26" s="75" t="str">
        <x:v>Server</x:v>
      </x:c>
      <x:c r="E26" s="75" t="str">
        <x:v>Best Buy</x:v>
      </x:c>
      <x:c r="F26" s="75" t="str">
        <x:v>Planned</x:v>
      </x:c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</x:row>
    <x:row r="27">
      <x:c r="A27" s="75" t="str">
        <x:v>AST-005</x:v>
      </x:c>
      <x:c r="B27" s="75" t="str">
        <x:v>CI-005</x:v>
      </x:c>
      <x:c r="C27" s="75" t="str">
        <x:v>Samsung Galaxy Tab A9+</x:v>
      </x:c>
      <x:c r="D27" s="75" t="str">
        <x:v>Endpoint</x:v>
      </x:c>
      <x:c r="E27" s="75" t="str">
        <x:v>Retail</x:v>
      </x:c>
      <x:c r="F27" s="75" t="str">
        <x:v>Planned</x:v>
      </x:c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</x:row>
    <x:row r="28">
      <x:c r="A28" s="75" t="str">
        <x:v>AST-006</x:v>
      </x:c>
      <x:c r="B28" s="75" t="str">
        <x:v>CI-007</x:v>
      </x:c>
      <x:c r="C28" s="75" t="str">
        <x:v>Reolink Doorbell</x:v>
      </x:c>
      <x:c r="D28" s="75" t="str">
        <x:v>Security</x:v>
      </x:c>
      <x:c r="E28" s="75" t="str">
        <x:v>Reolink</x:v>
      </x:c>
      <x:c r="F28" s="75" t="str">
        <x:v>Planned</x:v>
      </x:c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</x:row>
    <x:row r="29">
      <x:c r="A29" s="75" t="str">
        <x:v>AST-007</x:v>
      </x:c>
      <x:c r="B29" s="75" t="str">
        <x:v>CI-008</x:v>
      </x:c>
      <x:c r="C29" s="75" t="str">
        <x:v>Reolink E1 Outdoor Pro</x:v>
      </x:c>
      <x:c r="D29" s="75" t="str">
        <x:v>Security</x:v>
      </x:c>
      <x:c r="E29" s="75" t="str">
        <x:v>Reolink</x:v>
      </x:c>
      <x:c r="F29" s="75" t="str">
        <x:v>Planned</x:v>
      </x:c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</x:row>
    <x:row r="30">
      <x:c r="A30" s="75" t="str">
        <x:v>AST-008</x:v>
      </x:c>
      <x:c r="B30" s="75" t="str">
        <x:v>CI-009</x:v>
      </x:c>
      <x:c r="C30" s="75" t="str">
        <x:v>SONOFF Door Sensors</x:v>
      </x:c>
      <x:c r="D30" s="75" t="str">
        <x:v>IoT</x:v>
      </x:c>
      <x:c r="E30" s="75" t="str">
        <x:v>SONOFF</x:v>
      </x:c>
      <x:c r="F30" s="75" t="str">
        <x:v>Planned</x:v>
      </x:c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</x:row>
    <x:row r="31">
      <x:c r="A31" s="75" t="str">
        <x:v>AST-009</x:v>
      </x:c>
      <x:c r="B31" s="75" t="str">
        <x:v>CI-010</x:v>
      </x:c>
      <x:c r="C31" s="75" t="str">
        <x:v>SONOFF Motion Sensor</x:v>
      </x:c>
      <x:c r="D31" s="75" t="str">
        <x:v>IoT</x:v>
      </x:c>
      <x:c r="E31" s="75" t="str">
        <x:v>SONOFF</x:v>
      </x:c>
      <x:c r="F31" s="75" t="str">
        <x:v>Planned</x:v>
      </x:c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</x:row>
    <x:row r="33">
      <x:c r="A33" s="35" t="str">
        <x:v>IP Address Management</x:v>
      </x:c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</x:row>
    <x:row r="34">
      <x:c r="A34" s="26" t="str">
        <x:v>IP ID</x:v>
      </x:c>
      <x:c r="B34" s="26" t="str">
        <x:v>Linked CI ID</x:v>
      </x:c>
      <x:c r="C34" s="26" t="str">
        <x:v>Hostname</x:v>
      </x:c>
      <x:c r="D34" s="26" t="str">
        <x:v>IPv4 Address</x:v>
      </x:c>
      <x:c r="E34" s="26" t="str">
        <x:v>Assignment</x:v>
      </x:c>
      <x:c r="F34" s="26" t="str">
        <x:v>Status</x:v>
      </x:c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</x:row>
    <x:row r="35">
      <x:c r="A35" s="75" t="str">
        <x:v>IP-001</x:v>
      </x:c>
      <x:c r="B35" s="75" t="str">
        <x:v>CI-003</x:v>
      </x:c>
      <x:c r="C35" s="75" t="str">
        <x:v>orion-flint2</x:v>
      </x:c>
      <x:c r="D35" s="75" t="str">
        <x:v>192.168.50.1</x:v>
      </x:c>
      <x:c r="E35" s="75" t="str">
        <x:v>Static</x:v>
      </x:c>
      <x:c r="F35" s="75" t="str">
        <x:v>Active</x:v>
      </x:c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</x:row>
    <x:row r="36">
      <x:c r="A36" s="75" t="str">
        <x:v>IP-002</x:v>
      </x:c>
      <x:c r="B36" s="75" t="str">
        <x:v>CI-004</x:v>
      </x:c>
      <x:c r="C36" s="75" t="str">
        <x:v>orion-node01</x:v>
      </x:c>
      <x:c r="D36" s="75" t="str">
        <x:v>192.168.50.10</x:v>
      </x:c>
      <x:c r="E36" s="75" t="str">
        <x:v>DHCP Reservation</x:v>
      </x:c>
      <x:c r="F36" s="75" t="str">
        <x:v>Planned</x:v>
      </x:c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</x:row>
    <x:row r="37">
      <x:c r="A37" s="75" t="str">
        <x:v>IP-003</x:v>
      </x:c>
      <x:c r="B37" s="75" t="str">
        <x:v>CI-005</x:v>
      </x:c>
      <x:c r="C37" s="75" t="str">
        <x:v>orion-panel01</x:v>
      </x:c>
      <x:c r="D37" s="75" t="str">
        <x:v>192.168.50.20</x:v>
      </x:c>
      <x:c r="E37" s="75" t="str">
        <x:v>DHCP Reservation</x:v>
      </x:c>
      <x:c r="F37" s="75" t="str">
        <x:v>Planned</x:v>
      </x:c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</x:row>
    <x:row r="38">
      <x:c r="A38" s="75" t="str">
        <x:v>IP-004</x:v>
      </x:c>
      <x:c r="B38" s="75" t="str">
        <x:v>CI-007</x:v>
      </x:c>
      <x:c r="C38" s="75" t="str">
        <x:v>orion-doorbell01</x:v>
      </x:c>
      <x:c r="D38" s="75" t="str">
        <x:v>192.168.50.30</x:v>
      </x:c>
      <x:c r="E38" s="75" t="str">
        <x:v>DHCP Reservation</x:v>
      </x:c>
      <x:c r="F38" s="75" t="str">
        <x:v>Planned</x:v>
      </x:c>
      <x:c r="G38" s="75"/>
      <x:c r="H38" s="75"/>
      <x:c r="I38" s="75"/>
      <x:c r="J38" s="75"/>
      <x:c r="K38" s="75"/>
      <x:c r="L38" s="75"/>
      <x:c r="M38" s="75"/>
      <x:c r="N38" s="75"/>
      <x:c r="O38" s="75"/>
      <x:c r="P38" s="75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</x:row>
    <x:row r="39">
      <x:c r="A39" s="75" t="str">
        <x:v>IP-005</x:v>
      </x:c>
      <x:c r="B39" s="75" t="str">
        <x:v>CI-008</x:v>
      </x:c>
      <x:c r="C39" s="75" t="str">
        <x:v>orion-camera01</x:v>
      </x:c>
      <x:c r="D39" s="75" t="str">
        <x:v>192.168.50.31</x:v>
      </x:c>
      <x:c r="E39" s="75" t="str">
        <x:v>DHCP Reservation</x:v>
      </x:c>
      <x:c r="F39" s="75" t="str">
        <x:v>Planned</x:v>
      </x:c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5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</x:row>
    <x:row r="41">
      <x:c r="A41" s="35" t="str">
        <x:v>Firmware Inventory</x:v>
      </x:c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</x:row>
    <x:row r="42">
      <x:c r="A42" s="26" t="str">
        <x:v>Firmware ID</x:v>
      </x:c>
      <x:c r="B42" s="26" t="str">
        <x:v>Linked CI ID</x:v>
      </x:c>
      <x:c r="C42" s="26" t="str">
        <x:v>Device</x:v>
      </x:c>
      <x:c r="D42" s="26" t="str">
        <x:v>Compliance</x:v>
      </x:c>
      <x:c r="E42" s="26" t="str">
        <x:v>Next Review</x:v>
      </x:c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5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</x:row>
    <x:row r="43">
      <x:c r="A43" s="75" t="str">
        <x:v>FW-001</x:v>
      </x:c>
      <x:c r="B43" s="75" t="str">
        <x:v>CI-003</x:v>
      </x:c>
      <x:c r="C43" s="75" t="str">
        <x:v>GL.iNet Flint 2</x:v>
      </x:c>
      <x:c r="D43" s="75" t="str">
        <x:v>Compliant</x:v>
      </x:c>
      <x:c r="E43" s="75" t="str">
        <x:v>2026-10-30</x:v>
      </x:c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</x:row>
    <x:row r="44">
      <x:c r="A44" s="75" t="str">
        <x:v>FW-002</x:v>
      </x:c>
      <x:c r="B44" s="75" t="str">
        <x:v>CI-004</x:v>
      </x:c>
      <x:c r="C44" s="75" t="str">
        <x:v>Dell OptiPlex 7060</x:v>
      </x:c>
      <x:c r="D44" s="75" t="str">
        <x:v>Compliant</x:v>
      </x:c>
      <x:c r="E44" s="75" t="str">
        <x:v>2026-10-30</x:v>
      </x:c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5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</x:row>
    <x:row r="45">
      <x:c r="A45" s="75" t="str">
        <x:v>FW-003</x:v>
      </x:c>
      <x:c r="B45" s="75" t="str">
        <x:v>CI-006</x:v>
      </x:c>
      <x:c r="C45" s="75" t="str">
        <x:v>Home Assistant OS</x:v>
      </x:c>
      <x:c r="D45" s="75" t="str">
        <x:v>Compliant</x:v>
      </x:c>
      <x:c r="E45" s="75" t="str">
        <x:v>2026-09-30</x:v>
      </x:c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</x:row>
    <x:row r="46">
      <x:c r="A46" s="75" t="str">
        <x:v>FW-004</x:v>
      </x:c>
      <x:c r="B46" s="75" t="str">
        <x:v>CI-007</x:v>
      </x:c>
      <x:c r="C46" s="75" t="str">
        <x:v>Reolink Doorbell</x:v>
      </x:c>
      <x:c r="D46" s="75" t="str">
        <x:v>Planned</x:v>
      </x:c>
      <x:c r="E46" s="75"/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5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</x:row>
    <x:row r="47">
      <x:c r="A47" s="75" t="str">
        <x:v>FW-005</x:v>
      </x:c>
      <x:c r="B47" s="75" t="str">
        <x:v>CI-008</x:v>
      </x:c>
      <x:c r="C47" s="75" t="str">
        <x:v>Reolink E1 Outdoor Pro</x:v>
      </x:c>
      <x:c r="D47" s="75" t="str">
        <x:v>Planned</x:v>
      </x:c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</x:row>
    <x:row r="49">
      <x:c r="A49" s="35" t="str">
        <x:v>Maintenance Schedule</x:v>
      </x:c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</x:row>
    <x:row r="50">
      <x:c r="A50" s="26" t="str">
        <x:v>Maintenance ID</x:v>
      </x:c>
      <x:c r="B50" s="26" t="str">
        <x:v>Linked CI ID</x:v>
      </x:c>
      <x:c r="C50" s="26" t="str">
        <x:v>Task</x:v>
      </x:c>
      <x:c r="D50" s="26" t="str">
        <x:v>Scheduled Date</x:v>
      </x:c>
      <x:c r="E50" s="26" t="str">
        <x:v>Status</x:v>
      </x:c>
      <x:c r="F50" s="26" t="str">
        <x:v>Priority</x:v>
      </x:c>
      <x:c r="G50" s="75"/>
      <x:c r="H50" s="75"/>
      <x:c r="I50" s="75"/>
      <x:c r="J50" s="75"/>
      <x:c r="K50" s="75"/>
      <x:c r="L50" s="75"/>
      <x:c r="M50" s="75"/>
      <x:c r="N50" s="75"/>
      <x:c r="O50" s="75"/>
      <x:c r="P50" s="75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</x:row>
    <x:row r="51">
      <x:c r="A51" s="75" t="str">
        <x:v>MNT-001</x:v>
      </x:c>
      <x:c r="B51" s="75" t="str">
        <x:v>CI-003</x:v>
      </x:c>
      <x:c r="C51" s="75" t="str">
        <x:v>Review GL.iNet firmware</x:v>
      </x:c>
      <x:c r="D51" s="75" t="str">
        <x:v>2026-10-30</x:v>
      </x:c>
      <x:c r="E51" s="75" t="str">
        <x:v>Scheduled</x:v>
      </x:c>
      <x:c r="F51" s="75" t="str">
        <x:v>High</x:v>
      </x:c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</x:row>
    <x:row r="52">
      <x:c r="A52" s="75" t="str">
        <x:v>MNT-002</x:v>
      </x:c>
      <x:c r="B52" s="75" t="str">
        <x:v>CI-004</x:v>
      </x:c>
      <x:c r="C52" s="75" t="str">
        <x:v>Apply Windows updates</x:v>
      </x:c>
      <x:c r="D52" s="75" t="str">
        <x:v>2026-08-15</x:v>
      </x:c>
      <x:c r="E52" s="75" t="str">
        <x:v>Scheduled</x:v>
      </x:c>
      <x:c r="F52" s="75" t="str">
        <x:v>High</x:v>
      </x:c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</x:row>
    <x:row r="53">
      <x:c r="A53" s="75" t="str">
        <x:v>MNT-003</x:v>
      </x:c>
      <x:c r="B53" s="75" t="str">
        <x:v>CI-006</x:v>
      </x:c>
      <x:c r="C53" s="75" t="str">
        <x:v>Update Home Assistant OS</x:v>
      </x:c>
      <x:c r="D53" s="75" t="str">
        <x:v>2026-08-20</x:v>
      </x:c>
      <x:c r="E53" s="75" t="str">
        <x:v>Scheduled</x:v>
      </x:c>
      <x:c r="F53" s="75" t="str">
        <x:v>High</x:v>
      </x:c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</x:row>
    <x:row r="54">
      <x:c r="A54" s="75" t="str">
        <x:v>MNT-004</x:v>
      </x:c>
      <x:c r="B54" s="75" t="str">
        <x:v>CI-007</x:v>
      </x:c>
      <x:c r="C54" s="75" t="str">
        <x:v>Test video doorbell</x:v>
      </x:c>
      <x:c r="D54" s="75" t="str">
        <x:v>2026-08-10</x:v>
      </x:c>
      <x:c r="E54" s="75" t="str">
        <x:v>Scheduled</x:v>
      </x:c>
      <x:c r="F54" s="75" t="str">
        <x:v>Medium</x:v>
      </x:c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</x:row>
    <x:row r="55">
      <x:c r="A55" s="75" t="str">
        <x:v>MNT-005</x:v>
      </x:c>
      <x:c r="B55" s="75" t="str">
        <x:v>CI-008</x:v>
      </x:c>
      <x:c r="C55" s="75" t="str">
        <x:v>Clean and test camera</x:v>
      </x:c>
      <x:c r="D55" s="75" t="str">
        <x:v>2026-09-15</x:v>
      </x:c>
      <x:c r="E55" s="75" t="str">
        <x:v>Planned</x:v>
      </x:c>
      <x:c r="F55" s="75" t="str">
        <x:v>Medium</x:v>
      </x:c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</x:row>
    <x:row r="56">
      <x:c r="A56" s="75" t="str">
        <x:v>MNT-006</x:v>
      </x:c>
      <x:c r="B56" s="75" t="str">
        <x:v>CI-004</x:v>
      </x:c>
      <x:c r="C56" s="75" t="str">
        <x:v>Verify Home Assistant backups</x:v>
      </x:c>
      <x:c r="D56" s="75" t="str">
        <x:v>2026-08-02</x:v>
      </x:c>
      <x:c r="E56" s="75" t="str">
        <x:v>Scheduled</x:v>
      </x:c>
      <x:c r="F56" s="75" t="str">
        <x:v>Critical</x:v>
      </x:c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</x:row>
    <x:row r="57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</x:row>
    <x:row r="58">
      <x:c r="A58" s="35" t="str">
        <x:v>Change Register</x:v>
      </x:c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</x:row>
    <x:row r="59">
      <x:c r="A59" s="26" t="str">
        <x:v>Change ID</x:v>
      </x:c>
      <x:c r="B59" s="26" t="str">
        <x:v>Title</x:v>
      </x:c>
      <x:c r="C59" s="26" t="str">
        <x:v>Linked CI ID</x:v>
      </x:c>
      <x:c r="D59" s="26" t="str">
        <x:v>Priority</x:v>
      </x:c>
      <x:c r="E59" s="26" t="str">
        <x:v>Risk</x:v>
      </x:c>
      <x:c r="F59" s="26" t="str">
        <x:v>Scheduled Date</x:v>
      </x:c>
      <x:c r="G59" s="26" t="str">
        <x:v>Status</x:v>
      </x:c>
      <x:c r="H59" s="75"/>
      <x:c r="I59" s="75"/>
      <x:c r="J59" s="75"/>
      <x:c r="K59" s="75"/>
      <x:c r="L59" s="75"/>
      <x:c r="M59" s="75"/>
      <x:c r="N59" s="75"/>
      <x:c r="O59" s="75"/>
      <x:c r="P59" s="75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</x:row>
    <x:row r="60">
      <x:c r="A60" s="75" t="str">
        <x:v>CHG-001</x:v>
      </x:c>
      <x:c r="B60" s="75" t="str">
        <x:v>Upgrade Flint 2 Firmware</x:v>
      </x:c>
      <x:c r="C60" s="75" t="str">
        <x:v>CI-003</x:v>
      </x:c>
      <x:c r="D60" s="75" t="str">
        <x:v>High</x:v>
      </x:c>
      <x:c r="E60" s="75" t="str">
        <x:v>Medium</x:v>
      </x:c>
      <x:c r="F60" s="75" t="str">
        <x:v>2026-10-30</x:v>
      </x:c>
      <x:c r="G60" s="75" t="str">
        <x:v>Planned</x:v>
      </x:c>
      <x:c r="H60" s="75"/>
      <x:c r="I60" s="75"/>
      <x:c r="J60" s="75"/>
      <x:c r="K60" s="75"/>
      <x:c r="L60" s="75"/>
      <x:c r="M60" s="75"/>
      <x:c r="N60" s="75"/>
      <x:c r="O60" s="75"/>
      <x:c r="P60" s="75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</x:row>
    <x:row r="61">
      <x:c r="A61" s="75" t="str">
        <x:v>CHG-002</x:v>
      </x:c>
      <x:c r="B61" s="75" t="str">
        <x:v>Patch Windows 11 Host</x:v>
      </x:c>
      <x:c r="C61" s="75" t="str">
        <x:v>CI-004</x:v>
      </x:c>
      <x:c r="D61" s="75" t="str">
        <x:v>High</x:v>
      </x:c>
      <x:c r="E61" s="75" t="str">
        <x:v>Medium</x:v>
      </x:c>
      <x:c r="F61" s="75" t="str">
        <x:v>2026-08-15</x:v>
      </x:c>
      <x:c r="G61" s="75" t="str">
        <x:v>Planned</x:v>
      </x:c>
      <x:c r="H61" s="75"/>
      <x:c r="I61" s="75"/>
      <x:c r="J61" s="75"/>
      <x:c r="K61" s="75"/>
      <x:c r="L61" s="75"/>
      <x:c r="M61" s="75"/>
      <x:c r="N61" s="75"/>
      <x:c r="O61" s="75"/>
      <x:c r="P61" s="75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</x:row>
    <x:row r="62">
      <x:c r="A62" s="75" t="str">
        <x:v>CHG-003</x:v>
      </x:c>
      <x:c r="B62" s="75" t="str">
        <x:v>Upgrade Home Assistant</x:v>
      </x:c>
      <x:c r="C62" s="75" t="str">
        <x:v>CI-006</x:v>
      </x:c>
      <x:c r="D62" s="75" t="str">
        <x:v>High</x:v>
      </x:c>
      <x:c r="E62" s="75" t="str">
        <x:v>Low</x:v>
      </x:c>
      <x:c r="F62" s="75" t="str">
        <x:v>2026-08-20</x:v>
      </x:c>
      <x:c r="G62" s="75" t="str">
        <x:v>Planned</x:v>
      </x:c>
      <x:c r="H62" s="75"/>
      <x:c r="I62" s="75"/>
      <x:c r="J62" s="75"/>
      <x:c r="K62" s="75"/>
      <x:c r="L62" s="75"/>
      <x:c r="M62" s="75"/>
      <x:c r="N62" s="75"/>
      <x:c r="O62" s="75"/>
      <x:c r="P62" s="75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</x:row>
    <x:row r="63">
      <x:c r="A63" s="75" t="str">
        <x:v>CHG-004</x:v>
      </x:c>
      <x:c r="B63" s="75" t="str">
        <x:v>Deploy Doorbell</x:v>
      </x:c>
      <x:c r="C63" s="75" t="str">
        <x:v>CI-007</x:v>
      </x:c>
      <x:c r="D63" s="75" t="str">
        <x:v>Medium</x:v>
      </x:c>
      <x:c r="E63" s="75" t="str">
        <x:v>Low</x:v>
      </x:c>
      <x:c r="F63" s="75" t="str">
        <x:v>2026-08-10</x:v>
      </x:c>
      <x:c r="G63" s="75" t="str">
        <x:v>Planned</x:v>
      </x:c>
      <x:c r="H63" s="75"/>
      <x:c r="I63" s="75"/>
      <x:c r="J63" s="75"/>
      <x:c r="K63" s="75"/>
      <x:c r="L63" s="75"/>
      <x:c r="M63" s="75"/>
      <x:c r="N63" s="75"/>
      <x:c r="O63" s="75"/>
      <x:c r="P63" s="75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</x:row>
    <x:row r="64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</x:row>
    <x:row r="65">
      <x:c r="A65" s="35" t="str">
        <x:v>Risk Register</x:v>
      </x:c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</x:row>
    <x:row r="66">
      <x:c r="A66" s="26" t="str">
        <x:v>Risk ID</x:v>
      </x:c>
      <x:c r="B66" s="26" t="str">
        <x:v>Title</x:v>
      </x:c>
      <x:c r="C66" s="26" t="str">
        <x:v>Linked CI ID</x:v>
      </x:c>
      <x:c r="D66" s="26" t="str">
        <x:v>Category</x:v>
      </x:c>
      <x:c r="E66" s="26" t="str">
        <x:v>Inherent Risk</x:v>
      </x:c>
      <x:c r="F66" s="26" t="str">
        <x:v>Residual Risk</x:v>
      </x:c>
      <x:c r="G66" s="26" t="str">
        <x:v>Status</x:v>
      </x:c>
      <x:c r="H66" s="26" t="str">
        <x:v>Review Date</x:v>
      </x:c>
      <x:c r="I66" s="75"/>
      <x:c r="J66" s="75"/>
      <x:c r="K66" s="75"/>
      <x:c r="L66" s="75"/>
      <x:c r="M66" s="75"/>
      <x:c r="N66" s="75"/>
      <x:c r="O66" s="75"/>
      <x:c r="P66" s="75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</x:row>
    <x:row r="67">
      <x:c r="A67" s="75" t="str">
        <x:v>RSK-001</x:v>
      </x:c>
      <x:c r="B67" s="75" t="str">
        <x:v>Router firmware vulnerability</x:v>
      </x:c>
      <x:c r="C67" s="75" t="str">
        <x:v>CI-003</x:v>
      </x:c>
      <x:c r="D67" s="75" t="str">
        <x:v>Cybersecurity</x:v>
      </x:c>
      <x:c r="E67" s="75" t="str">
        <x:v>High</x:v>
      </x:c>
      <x:c r="F67" s="75" t="str">
        <x:v>Medium</x:v>
      </x:c>
      <x:c r="G67" s="75" t="str">
        <x:v>Open</x:v>
      </x:c>
      <x:c r="H67" s="75" t="str">
        <x:v>2026-10-30</x:v>
      </x:c>
      <x:c r="I67" s="75"/>
      <x:c r="J67" s="75"/>
      <x:c r="K67" s="75"/>
      <x:c r="L67" s="75"/>
      <x:c r="M67" s="75"/>
      <x:c r="N67" s="75"/>
      <x:c r="O67" s="75"/>
      <x:c r="P67" s="75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</x:row>
    <x:row r="68">
      <x:c r="A68" s="75" t="str">
        <x:v>RSK-002</x:v>
      </x:c>
      <x:c r="B68" s="75" t="str">
        <x:v>Server patch backlog</x:v>
      </x:c>
      <x:c r="C68" s="75" t="str">
        <x:v>CI-004</x:v>
      </x:c>
      <x:c r="D68" s="75" t="str">
        <x:v>Operations</x:v>
      </x:c>
      <x:c r="E68" s="75" t="str">
        <x:v>High</x:v>
      </x:c>
      <x:c r="F68" s="75" t="str">
        <x:v>Low</x:v>
      </x:c>
      <x:c r="G68" s="75" t="str">
        <x:v>Open</x:v>
      </x:c>
      <x:c r="H68" s="75" t="str">
        <x:v>2026-08-31</x:v>
      </x:c>
      <x:c r="I68" s="75"/>
      <x:c r="J68" s="75"/>
      <x:c r="K68" s="75"/>
      <x:c r="L68" s="75"/>
      <x:c r="M68" s="75"/>
      <x:c r="N68" s="75"/>
      <x:c r="O68" s="75"/>
      <x:c r="P68" s="75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</x:row>
    <x:row r="69">
      <x:c r="A69" s="75" t="str">
        <x:v>RSK-003</x:v>
      </x:c>
      <x:c r="B69" s="75" t="str">
        <x:v>Home Assistant backup failure</x:v>
      </x:c>
      <x:c r="C69" s="75" t="str">
        <x:v>CI-006</x:v>
      </x:c>
      <x:c r="D69" s="75" t="str">
        <x:v>Business Continuity</x:v>
      </x:c>
      <x:c r="E69" s="75" t="str">
        <x:v>Medium</x:v>
      </x:c>
      <x:c r="F69" s="75" t="str">
        <x:v>Low</x:v>
      </x:c>
      <x:c r="G69" s="75" t="str">
        <x:v>Monitoring</x:v>
      </x:c>
      <x:c r="H69" s="75" t="str">
        <x:v>2026-08-31</x:v>
      </x:c>
      <x:c r="I69" s="75"/>
      <x:c r="J69" s="75"/>
      <x:c r="K69" s="75"/>
      <x:c r="L69" s="75"/>
      <x:c r="M69" s="75"/>
      <x:c r="N69" s="75"/>
      <x:c r="O69" s="75"/>
      <x:c r="P69" s="75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</x:row>
    <x:row r="70">
      <x:c r="A70" s="75" t="str">
        <x:v>RSK-004</x:v>
      </x:c>
      <x:c r="B70" s="75" t="str">
        <x:v>Camera outage</x:v>
      </x:c>
      <x:c r="C70" s="75" t="str">
        <x:v>CI-008</x:v>
      </x:c>
      <x:c r="D70" s="75" t="str">
        <x:v>Availability</x:v>
      </x:c>
      <x:c r="E70" s="75" t="str">
        <x:v>Low</x:v>
      </x:c>
      <x:c r="F70" s="75" t="str">
        <x:v>Low</x:v>
      </x:c>
      <x:c r="G70" s="75" t="str">
        <x:v>Monitoring</x:v>
      </x:c>
      <x:c r="H70" s="75" t="str">
        <x:v>2026-09-30</x:v>
      </x:c>
      <x:c r="I70" s="75"/>
      <x:c r="J70" s="75"/>
      <x:c r="K70" s="75"/>
      <x:c r="L70" s="75"/>
      <x:c r="M70" s="75"/>
      <x:c r="N70" s="75"/>
      <x:c r="O70" s="75"/>
      <x:c r="P70" s="75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</x:row>
    <x:row r="71">
      <x:c r="A71" s="75" t="str">
        <x:v>RSK-005</x:v>
      </x:c>
      <x:c r="B71" s="75" t="str">
        <x:v>Unauthorized IoT access</x:v>
      </x:c>
      <x:c r="C71" s="75" t="str">
        <x:v>CI-009</x:v>
      </x:c>
      <x:c r="D71" s="75" t="str">
        <x:v>Cybersecurity</x:v>
      </x:c>
      <x:c r="E71" s="75" t="str">
        <x:v>High</x:v>
      </x:c>
      <x:c r="F71" s="75" t="str">
        <x:v>Medium</x:v>
      </x:c>
      <x:c r="G71" s="75" t="str">
        <x:v>Open</x:v>
      </x:c>
      <x:c r="H71" s="75" t="str">
        <x:v>2026-09-30</x:v>
      </x:c>
      <x:c r="I71" s="75"/>
      <x:c r="J71" s="75"/>
      <x:c r="K71" s="75"/>
      <x:c r="L71" s="75"/>
      <x:c r="M71" s="75"/>
      <x:c r="N71" s="75"/>
      <x:c r="O71" s="75"/>
      <x:c r="P71" s="75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</x:row>
    <x:row r="72">
      <x:c r="A72" s="75"/>
      <x:c r="B72" s="75"/>
      <x:c r="C72" s="75"/>
      <x:c r="D72" s="75"/>
      <x:c r="E72" s="75"/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</x:row>
    <x:row r="73">
      <x:c r="A73" s="35" t="str">
        <x:v>Test Register</x:v>
      </x:c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</x:row>
    <x:row r="74">
      <x:c r="A74" s="26" t="str">
        <x:v>Test ID</x:v>
      </x:c>
      <x:c r="B74" s="26" t="str">
        <x:v>Title</x:v>
      </x:c>
      <x:c r="C74" s="26" t="str">
        <x:v>Linked CI ID</x:v>
      </x:c>
      <x:c r="D74" s="26" t="str">
        <x:v>Category</x:v>
      </x:c>
      <x:c r="E74" s="26" t="str">
        <x:v>Scheduled Date</x:v>
      </x:c>
      <x:c r="F74" s="26" t="str">
        <x:v>Status</x:v>
      </x:c>
      <x:c r="G74" s="26" t="str">
        <x:v>Result</x:v>
      </x:c>
      <x:c r="H74" s="75"/>
      <x:c r="I74" s="75"/>
      <x:c r="J74" s="75"/>
      <x:c r="K74" s="75"/>
      <x:c r="L74" s="75"/>
      <x:c r="M74" s="75"/>
      <x:c r="N74" s="75"/>
      <x:c r="O74" s="75"/>
      <x:c r="P74" s="75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</x:row>
    <x:row r="75">
      <x:c r="A75" s="75" t="str">
        <x:v>TST-001</x:v>
      </x:c>
      <x:c r="B75" s="75" t="str">
        <x:v>Flint 2 Firmware Validation</x:v>
      </x:c>
      <x:c r="C75" s="75" t="str">
        <x:v>CI-003</x:v>
      </x:c>
      <x:c r="D75" s="75" t="str">
        <x:v>Firmware</x:v>
      </x:c>
      <x:c r="E75" s="75" t="str">
        <x:v>2026-10-30</x:v>
      </x:c>
      <x:c r="F75" s="75" t="str">
        <x:v>Planned</x:v>
      </x:c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</x:row>
    <x:row r="76">
      <x:c r="A76" s="75" t="str">
        <x:v>TST-002</x:v>
      </x:c>
      <x:c r="B76" s="75" t="str">
        <x:v>Windows Patch Verification</x:v>
      </x:c>
      <x:c r="C76" s="75" t="str">
        <x:v>CI-004</x:v>
      </x:c>
      <x:c r="D76" s="75" t="str">
        <x:v>Operating System</x:v>
      </x:c>
      <x:c r="E76" s="75" t="str">
        <x:v>2026-08-15</x:v>
      </x:c>
      <x:c r="F76" s="75" t="str">
        <x:v>Planned</x:v>
      </x:c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</x:row>
    <x:row r="77">
      <x:c r="A77" s="75" t="str">
        <x:v>TST-003</x:v>
      </x:c>
      <x:c r="B77" s="75" t="str">
        <x:v>Home Assistant Backup Restore</x:v>
      </x:c>
      <x:c r="C77" s="75" t="str">
        <x:v>CI-006</x:v>
      </x:c>
      <x:c r="D77" s="75" t="str">
        <x:v>Backup</x:v>
      </x:c>
      <x:c r="E77" s="75" t="str">
        <x:v>2026-08-20</x:v>
      </x:c>
      <x:c r="F77" s="75" t="str">
        <x:v>Planned</x:v>
      </x:c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</x:row>
    <x:row r="78">
      <x:c r="A78" s="75" t="str">
        <x:v>TST-004</x:v>
      </x:c>
      <x:c r="B78" s="75" t="str">
        <x:v>Doorbell Functional Test</x:v>
      </x:c>
      <x:c r="C78" s="75" t="str">
        <x:v>CI-007</x:v>
      </x:c>
      <x:c r="D78" s="75" t="str">
        <x:v>Functional</x:v>
      </x:c>
      <x:c r="E78" s="75" t="str">
        <x:v>2026-08-10</x:v>
      </x:c>
      <x:c r="F78" s="75" t="str">
        <x:v>Planned</x:v>
      </x:c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</x:row>
    <x:row r="79">
      <x:c r="A79" s="75" t="str">
        <x:v>TST-005</x:v>
      </x:c>
      <x:c r="B79" s="75" t="str">
        <x:v>Camera Recording Test</x:v>
      </x:c>
      <x:c r="C79" s="75" t="str">
        <x:v>CI-008</x:v>
      </x:c>
      <x:c r="D79" s="75" t="str">
        <x:v>Functional</x:v>
      </x:c>
      <x:c r="E79" s="75" t="str">
        <x:v>2026-09-15</x:v>
      </x:c>
      <x:c r="F79" s="75" t="str">
        <x:v>Planned</x:v>
      </x:c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</x:row>
    <x:row r="80">
      <x:c r="A80" s="75" t="str">
        <x:v>TST-006</x:v>
      </x:c>
      <x:c r="B80" s="75" t="str">
        <x:v>Network Connectivity Test</x:v>
      </x:c>
      <x:c r="C80" s="75" t="str">
        <x:v>CI-003</x:v>
      </x:c>
      <x:c r="D80" s="75" t="str">
        <x:v>Network</x:v>
      </x:c>
      <x:c r="E80" s="75" t="str">
        <x:v>2026-08-01</x:v>
      </x:c>
      <x:c r="F80" s="75" t="str">
        <x:v>Planned</x:v>
      </x:c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</x:row>
    <x:row r="81">
      <x:c r="A81" s="75"/>
      <x:c r="B81" s="75"/>
      <x:c r="C81" s="75"/>
      <x:c r="D81" s="75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</x:row>
    <x:row r="82">
      <x:c r="A82" s="75"/>
      <x:c r="B82" s="75"/>
      <x:c r="C82" s="75"/>
      <x:c r="D82" s="75"/>
      <x:c r="E82" s="75"/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</x:row>
    <x:row r="83">
      <x:c r="A83" s="75"/>
      <x:c r="B83" s="75"/>
      <x:c r="C83" s="75"/>
      <x:c r="D83" s="75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</x:row>
    <x:row r="84">
      <x:c r="A84" s="75"/>
      <x:c r="B84" s="75"/>
      <x:c r="C84" s="75"/>
      <x:c r="D84" s="75"/>
      <x:c r="E84" s="75"/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</x:row>
    <x:row r="85">
      <x:c r="A85" s="75"/>
      <x:c r="B85" s="75"/>
      <x:c r="C85" s="75"/>
      <x:c r="D85" s="75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</x:row>
    <x:row r="86">
      <x:c r="A86" s="75"/>
      <x:c r="B86" s="75"/>
      <x:c r="C86" s="75"/>
      <x:c r="D86" s="75"/>
      <x:c r="E86" s="75"/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</x:row>
    <x:row r="87">
      <x:c r="A87" s="75"/>
      <x:c r="B87" s="75"/>
      <x:c r="C87" s="75"/>
      <x:c r="D87" s="75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</x:row>
    <x:row r="88">
      <x:c r="A88" s="75"/>
      <x:c r="B88" s="75"/>
      <x:c r="C88" s="75"/>
      <x:c r="D88" s="75"/>
      <x:c r="E88" s="75"/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</x:row>
    <x:row r="89">
      <x:c r="A89" s="75"/>
      <x:c r="B89" s="75"/>
      <x:c r="C89" s="75"/>
      <x:c r="D89" s="75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</x:row>
    <x:row r="90">
      <x:c r="A90" s="75"/>
      <x:c r="B90" s="75"/>
      <x:c r="C90" s="75"/>
      <x:c r="D90" s="75"/>
      <x:c r="E90" s="75"/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</x:row>
    <x:row r="91">
      <x:c r="A91" s="75"/>
      <x:c r="B91" s="75"/>
      <x:c r="C91" s="75"/>
      <x:c r="D91" s="75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</x:row>
    <x:row r="92">
      <x:c r="A92" s="75"/>
      <x:c r="B92" s="75"/>
      <x:c r="C92" s="75"/>
      <x:c r="D92" s="75"/>
      <x:c r="E92" s="75"/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</x:row>
  </x:sheetData>
  <x:mergeCells>
    <x:mergeCell ref="A1:P2"/>
    <x:mergeCell ref="A4:P4"/>
    <x:mergeCell ref="A21:P21"/>
    <x:mergeCell ref="A33:P33"/>
    <x:mergeCell ref="A41:P41"/>
    <x:mergeCell ref="A49:P49"/>
    <x:mergeCell ref="A58:P58"/>
    <x:mergeCell ref="A65:P65"/>
    <x:mergeCell ref="A73:P73"/>
  </x:mergeCells>
  <x:pageMargins left="0.7" right="0.7" top="0.75" bottom="0.75" header="0.3" footer="0.3"/>
  <x:tableParts count="8">
    <x:tablePart xmlns:r="http://schemas.openxmlformats.org/officeDocument/2006/relationships" r:id="Rfee17f7e939a48e4"/>
    <x:tablePart xmlns:r="http://schemas.openxmlformats.org/officeDocument/2006/relationships" r:id="R290ab703d47f4f01"/>
    <x:tablePart xmlns:r="http://schemas.openxmlformats.org/officeDocument/2006/relationships" r:id="Rc7251ca237284c8a"/>
    <x:tablePart xmlns:r="http://schemas.openxmlformats.org/officeDocument/2006/relationships" r:id="Re8bfe81598f04b95"/>
    <x:tablePart xmlns:r="http://schemas.openxmlformats.org/officeDocument/2006/relationships" r:id="R9f01730ddcac4641"/>
    <x:tablePart xmlns:r="http://schemas.openxmlformats.org/officeDocument/2006/relationships" r:id="Rd72a9c58adf24c26"/>
    <x:tablePart xmlns:r="http://schemas.openxmlformats.org/officeDocument/2006/relationships" r:id="Rf28c86c915f348f5"/>
    <x:tablePart xmlns:r="http://schemas.openxmlformats.org/officeDocument/2006/relationships" r:id="Rc2a0af8f012245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4" t="str">
        <x:v>REFERENCE DATA &amp; SCORING</x:v>
      </x:c>
      <x:c r="B1" s="34"/>
      <x:c r="C1" s="34"/>
      <x:c r="D1" s="34"/>
      <x:c r="E1" s="24"/>
      <x:c r="F1" s="24"/>
      <x:c r="G1" s="24"/>
      <x:c r="H1" s="2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>
      <x:c r="A2" s="24"/>
      <x:c r="B2" s="24"/>
      <x:c r="C2" s="24"/>
      <x:c r="D2" s="24"/>
      <x:c r="E2" s="24"/>
      <x:c r="F2" s="24"/>
      <x:c r="G2" s="24"/>
      <x:c r="H2" s="2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</x:row>
    <x:row r="4">
      <x:c r="A4" s="26" t="str">
        <x:v>Domain</x:v>
      </x:c>
      <x:c r="B4" s="26" t="str">
        <x:v>Green Threshold</x:v>
      </x:c>
      <x:c r="C4" s="26" t="str">
        <x:v>Amber Threshold</x:v>
      </x:c>
      <x:c r="D4" s="26" t="str">
        <x:v>Red Condition</x:v>
      </x:c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</x:row>
    <x:row r="5">
      <x:c r="A5" s="74" t="str">
        <x:v>Configuration Management</x:v>
      </x:c>
      <x:c r="B5" s="74" t="str">
        <x:v>&gt;= 50% Active/Operational</x:v>
      </x:c>
      <x:c r="C5" s="74" t="str">
        <x:v>&gt;= 25% Active/Operational</x:v>
      </x:c>
      <x:c r="D5" s="74" t="str">
        <x:v>&lt; 25% Active/Operational</x:v>
      </x:c>
      <x:c r="E5" s="74"/>
      <x:c r="F5" s="74"/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</x:row>
    <x:row r="6">
      <x:c r="A6" s="74" t="str">
        <x:v>Firmware</x:v>
      </x:c>
      <x:c r="B6" s="74" t="str">
        <x:v>&gt;= 80% Compliant</x:v>
      </x:c>
      <x:c r="C6" s="74" t="str">
        <x:v>&gt;= 50% Compliant</x:v>
      </x:c>
      <x:c r="D6" s="74" t="str">
        <x:v>&lt; 50% Compliant</x:v>
      </x:c>
      <x:c r="E6" s="74"/>
      <x:c r="F6" s="74"/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</x:row>
    <x:row r="7">
      <x:c r="A7" s="74" t="str">
        <x:v>Maintenance</x:v>
      </x:c>
      <x:c r="B7" s="74" t="str">
        <x:v>No overdue Critical items</x:v>
      </x:c>
      <x:c r="C7" s="74" t="str">
        <x:v>Overdue High/Medium items</x:v>
      </x:c>
      <x:c r="D7" s="74" t="str">
        <x:v>Overdue Critical items</x:v>
      </x:c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</x:row>
    <x:row r="8">
      <x:c r="A8" s="74" t="str">
        <x:v>Change Management</x:v>
      </x:c>
      <x:c r="B8" s="74" t="str">
        <x:v>&gt;= 80% closed/implemented</x:v>
      </x:c>
      <x:c r="C8" s="74" t="str">
        <x:v>&gt;= 50% closed/implemented</x:v>
      </x:c>
      <x:c r="D8" s="74" t="str">
        <x:v>&lt; 50% closed/implemented</x:v>
      </x:c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</x:row>
    <x:row r="9">
      <x:c r="A9" s="74" t="str">
        <x:v>Risk Management</x:v>
      </x:c>
      <x:c r="B9" s="74" t="str">
        <x:v>No Critical residual risks</x:v>
      </x:c>
      <x:c r="C9" s="74" t="str">
        <x:v>High residual risks present</x:v>
      </x:c>
      <x:c r="D9" s="74" t="str">
        <x:v>Critical residual risk present</x:v>
      </x:c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</x:row>
    <x:row r="12">
      <x:c r="A12" s="26" t="str">
        <x:v>Status</x:v>
      </x:c>
      <x:c r="B12" s="26" t="str">
        <x:v>Score</x:v>
      </x:c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</x:row>
    <x:row r="13">
      <x:c r="A13" s="74" t="str">
        <x:v>Green</x:v>
      </x:c>
      <x:c r="B13" s="74" t="n">
        <x:v>100</x:v>
      </x:c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</x:row>
    <x:row r="14">
      <x:c r="A14" s="74" t="str">
        <x:v>Amber</x:v>
      </x:c>
      <x:c r="B14" s="74" t="n">
        <x:v>70</x:v>
      </x:c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</x:row>
    <x:row r="15">
      <x:c r="A15" s="74" t="str">
        <x:v>Red</x:v>
      </x:c>
      <x:c r="B15" s="74" t="n">
        <x:v>40</x:v>
      </x:c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</x:row>
    <x:row r="16">
      <x:c r="A16" s="74" t="str">
        <x:v>Not Rated</x:v>
      </x:c>
      <x:c r="B16" s="74" t="n">
        <x:v>0</x:v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</x:row>
    <x:row r="17">
      <x:c r="A17" s="74" t="str">
        <x:v>Overall Rating Green</x:v>
      </x:c>
      <x:c r="B17" s="74" t="n">
        <x:v>85</x:v>
      </x:c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</x:row>
    <x:row r="18">
      <x:c r="A18" s="74" t="str">
        <x:v>Overall Rating Amber</x:v>
      </x:c>
      <x:c r="B18" s="74" t="n">
        <x:v>65</x:v>
      </x:c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56" hidden="0" customWidth="1"/>
  </x:cols>
  <x:sheetData>
    <x:row r="1">
      <x:c r="A1" s="24" t="str">
        <x:v>REVISION HISTORY</x:v>
      </x:c>
      <x:c r="B1" s="24"/>
      <x:c r="C1" s="24"/>
      <x:c r="D1" s="24"/>
      <x:c r="E1" s="24"/>
      <x:c r="F1" s="2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>
      <x:c r="A2" s="24"/>
      <x:c r="B2" s="24"/>
      <x:c r="C2" s="24"/>
      <x:c r="D2" s="24"/>
      <x:c r="E2" s="24"/>
      <x:c r="F2" s="2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</x:row>
    <x:row r="4">
      <x:c r="A4" s="26" t="str">
        <x:v>Version</x:v>
      </x:c>
      <x:c r="B4" s="26" t="str">
        <x:v>Date</x:v>
      </x:c>
      <x:c r="C4" s="26" t="str">
        <x:v>Author</x:v>
      </x:c>
      <x:c r="D4" s="26" t="str">
        <x:v>Status</x:v>
      </x:c>
      <x:c r="E4" s="26" t="str">
        <x:v>Summary</x:v>
      </x:c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4"/>
      <x:c r="X4" s="74"/>
      <x:c r="Y4" s="74"/>
      <x:c r="Z4" s="74"/>
    </x:row>
    <x:row r="5">
      <x:c r="A5" s="74" t="str">
        <x:v>1.0</x:v>
      </x:c>
      <x:c r="B5" s="74" t="str">
        <x:v>2026-07-30</x:v>
      </x:c>
      <x:c r="C5" s="74" t="str">
        <x:v>George Jordan</x:v>
      </x:c>
      <x:c r="D5" s="74" t="str">
        <x:v>Baselined</x:v>
      </x:c>
      <x:c r="E5" s="74" t="str">
        <x:v>Initial consolidated Engineering Dashboard for Sprint 4.</x:v>
      </x:c>
      <x:c r="F5" s="74"/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  <x:c r="W5" s="74"/>
      <x:c r="X5" s="74"/>
      <x:c r="Y5" s="74"/>
      <x:c r="Z5" s="74"/>
    </x:row>
    <x:row r="6">
      <x:c r="A6" s="74" t="str"/>
      <x:c r="B6" s="74" t="str"/>
      <x:c r="C6" s="74" t="str"/>
      <x:c r="D6" s="74" t="str"/>
      <x:c r="E6" s="74" t="str"/>
      <x:c r="F6" s="74"/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  <x:c r="W6" s="74"/>
      <x:c r="X6" s="74"/>
      <x:c r="Y6" s="74"/>
      <x:c r="Z6" s="74"/>
    </x:row>
    <x:row r="7">
      <x:c r="A7" s="74"/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  <x:c r="W8" s="74"/>
      <x:c r="X8" s="74"/>
      <x:c r="Y8" s="74"/>
      <x:c r="Z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  <x:c r="W9" s="74"/>
      <x:c r="X9" s="74"/>
      <x:c r="Y9" s="74"/>
      <x:c r="Z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  <x:c r="W10" s="74"/>
      <x:c r="X10" s="74"/>
      <x:c r="Y10" s="74"/>
      <x:c r="Z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  <x:c r="W11" s="74"/>
      <x:c r="X11" s="74"/>
      <x:c r="Y11" s="74"/>
      <x:c r="Z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  <x:c r="W13" s="74"/>
      <x:c r="X13" s="74"/>
      <x:c r="Y13" s="74"/>
      <x:c r="Z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  <x:c r="W15" s="74"/>
      <x:c r="X15" s="74"/>
      <x:c r="Y15" s="74"/>
      <x:c r="Z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  <x:c r="W16" s="74"/>
      <x:c r="X16" s="74"/>
      <x:c r="Y16" s="74"/>
      <x:c r="Z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  <x:c r="W21" s="74"/>
      <x:c r="X21" s="74"/>
      <x:c r="Y21" s="74"/>
      <x:c r="Z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  <x:c r="W22" s="74"/>
      <x:c r="X22" s="74"/>
      <x:c r="Y22" s="74"/>
      <x:c r="Z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  <x:c r="W23" s="74"/>
      <x:c r="X23" s="74"/>
      <x:c r="Y23" s="74"/>
      <x:c r="Z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  <x:c r="W45" s="74"/>
      <x:c r="X45" s="74"/>
      <x:c r="Y45" s="74"/>
      <x:c r="Z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  <x:c r="W47" s="74"/>
      <x:c r="X47" s="74"/>
      <x:c r="Y47" s="74"/>
      <x:c r="Z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  <x:c r="W49" s="74"/>
      <x:c r="X49" s="74"/>
      <x:c r="Y49" s="74"/>
      <x:c r="Z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  <x:c r="W53" s="74"/>
      <x:c r="X53" s="74"/>
      <x:c r="Y53" s="74"/>
      <x:c r="Z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  <x:c r="W54" s="74"/>
      <x:c r="X54" s="74"/>
      <x:c r="Y54" s="74"/>
      <x:c r="Z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  <x:c r="W55" s="74"/>
      <x:c r="X55" s="74"/>
      <x:c r="Y55" s="74"/>
      <x:c r="Z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  <x:c r="W56" s="74"/>
      <x:c r="X56" s="74"/>
      <x:c r="Y56" s="74"/>
      <x:c r="Z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  <x:c r="W57" s="74"/>
      <x:c r="X57" s="74"/>
      <x:c r="Y57" s="74"/>
      <x:c r="Z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  <x:c r="W58" s="74"/>
      <x:c r="X58" s="74"/>
      <x:c r="Y58" s="74"/>
      <x:c r="Z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  <x:c r="W59" s="74"/>
      <x:c r="X59" s="74"/>
      <x:c r="Y59" s="74"/>
      <x:c r="Z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  <x:c r="W60" s="74"/>
      <x:c r="X60" s="74"/>
      <x:c r="Y60" s="74"/>
      <x:c r="Z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  <x:c r="W61" s="74"/>
      <x:c r="X61" s="74"/>
      <x:c r="Y61" s="74"/>
      <x:c r="Z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  <x:c r="W62" s="74"/>
      <x:c r="X62" s="74"/>
      <x:c r="Y62" s="74"/>
      <x:c r="Z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  <x:c r="W63" s="74"/>
      <x:c r="X63" s="74"/>
      <x:c r="Y63" s="74"/>
      <x:c r="Z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  <x:c r="W64" s="74"/>
      <x:c r="X64" s="74"/>
      <x:c r="Y64" s="74"/>
      <x:c r="Z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  <x:c r="W65" s="74"/>
      <x:c r="X65" s="74"/>
      <x:c r="Y65" s="74"/>
      <x:c r="Z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  <x:c r="W66" s="74"/>
      <x:c r="X66" s="74"/>
      <x:c r="Y66" s="74"/>
      <x:c r="Z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  <x:c r="W67" s="74"/>
      <x:c r="X67" s="74"/>
      <x:c r="Y67" s="74"/>
      <x:c r="Z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  <x:c r="W68" s="74"/>
      <x:c r="X68" s="74"/>
      <x:c r="Y68" s="74"/>
      <x:c r="Z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  <x:c r="W69" s="74"/>
      <x:c r="X69" s="74"/>
      <x:c r="Y69" s="74"/>
      <x:c r="Z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  <x:c r="W70" s="74"/>
      <x:c r="X70" s="74"/>
      <x:c r="Y70" s="74"/>
      <x:c r="Z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  <x:c r="W71" s="74"/>
      <x:c r="X71" s="74"/>
      <x:c r="Y71" s="74"/>
      <x:c r="Z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  <x:c r="W72" s="74"/>
      <x:c r="X72" s="74"/>
      <x:c r="Y72" s="74"/>
      <x:c r="Z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  <x:c r="W73" s="74"/>
      <x:c r="X73" s="74"/>
      <x:c r="Y73" s="74"/>
      <x:c r="Z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  <x:c r="W74" s="74"/>
      <x:c r="X74" s="74"/>
      <x:c r="Y74" s="74"/>
      <x:c r="Z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  <x:c r="W75" s="74"/>
      <x:c r="X75" s="74"/>
      <x:c r="Y75" s="74"/>
      <x:c r="Z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  <x:c r="W76" s="74"/>
      <x:c r="X76" s="74"/>
      <x:c r="Y76" s="74"/>
      <x:c r="Z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  <x:c r="W77" s="74"/>
      <x:c r="X77" s="74"/>
      <x:c r="Y77" s="74"/>
      <x:c r="Z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  <x:c r="W78" s="74"/>
      <x:c r="X78" s="74"/>
      <x:c r="Y78" s="74"/>
      <x:c r="Z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  <x:c r="W79" s="74"/>
      <x:c r="X79" s="74"/>
      <x:c r="Y79" s="74"/>
      <x:c r="Z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  <x:c r="W80" s="74"/>
      <x:c r="X80" s="74"/>
      <x:c r="Y80" s="74"/>
      <x:c r="Z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  <x:c r="W90" s="74"/>
      <x:c r="X90" s="74"/>
      <x:c r="Y90" s="74"/>
      <x:c r="Z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  <x:c r="W91" s="74"/>
      <x:c r="X91" s="74"/>
      <x:c r="Y91" s="74"/>
      <x:c r="Z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  <x:c r="W92" s="74"/>
      <x:c r="X92" s="74"/>
      <x:c r="Y92" s="74"/>
      <x:c r="Z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  <x:c r="W93" s="74"/>
      <x:c r="X93" s="74"/>
      <x:c r="Y93" s="74"/>
      <x:c r="Z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  <x:c r="W94" s="74"/>
      <x:c r="X94" s="74"/>
      <x:c r="Y94" s="74"/>
      <x:c r="Z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  <x:c r="W95" s="74"/>
      <x:c r="X95" s="74"/>
      <x:c r="Y95" s="74"/>
      <x:c r="Z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  <x:c r="W96" s="74"/>
      <x:c r="X96" s="74"/>
      <x:c r="Y96" s="74"/>
      <x:c r="Z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  <x:c r="W97" s="74"/>
      <x:c r="X97" s="74"/>
      <x:c r="Y97" s="74"/>
      <x:c r="Z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  <x:c r="W98" s="74"/>
      <x:c r="X98" s="74"/>
      <x:c r="Y98" s="74"/>
      <x:c r="Z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  <x:c r="W99" s="74"/>
      <x:c r="X99" s="74"/>
      <x:c r="Y99" s="74"/>
      <x:c r="Z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  <x:c r="W100" s="74"/>
      <x:c r="X100" s="74"/>
      <x:c r="Y100" s="74"/>
      <x:c r="Z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  <x:c r="W101" s="74"/>
      <x:c r="X101" s="74"/>
      <x:c r="Y101" s="74"/>
      <x:c r="Z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  <x:c r="W102" s="74"/>
      <x:c r="X102" s="74"/>
      <x:c r="Y102" s="74"/>
      <x:c r="Z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  <x:c r="W103" s="74"/>
      <x:c r="X103" s="74"/>
      <x:c r="Y103" s="74"/>
      <x:c r="Z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  <x:c r="W104" s="74"/>
      <x:c r="X104" s="74"/>
      <x:c r="Y104" s="74"/>
      <x:c r="Z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  <x:c r="W105" s="74"/>
      <x:c r="X105" s="74"/>
      <x:c r="Y105" s="74"/>
      <x:c r="Z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  <x:c r="W106" s="74"/>
      <x:c r="X106" s="74"/>
      <x:c r="Y106" s="74"/>
      <x:c r="Z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  <x:c r="W107" s="74"/>
      <x:c r="X107" s="74"/>
      <x:c r="Y107" s="74"/>
      <x:c r="Z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  <x:c r="W108" s="74"/>
      <x:c r="X108" s="74"/>
      <x:c r="Y108" s="74"/>
      <x:c r="Z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  <x:c r="W109" s="74"/>
      <x:c r="X109" s="74"/>
      <x:c r="Y109" s="74"/>
      <x:c r="Z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  <x:c r="W110" s="74"/>
      <x:c r="X110" s="74"/>
      <x:c r="Y110" s="74"/>
      <x:c r="Z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  <x:c r="W111" s="74"/>
      <x:c r="X111" s="74"/>
      <x:c r="Y111" s="74"/>
      <x:c r="Z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  <x:c r="W112" s="74"/>
      <x:c r="X112" s="74"/>
      <x:c r="Y112" s="74"/>
      <x:c r="Z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  <x:c r="W113" s="74"/>
      <x:c r="X113" s="74"/>
      <x:c r="Y113" s="74"/>
      <x:c r="Z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  <x:c r="W114" s="74"/>
      <x:c r="X114" s="74"/>
      <x:c r="Y114" s="74"/>
      <x:c r="Z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  <x:c r="W115" s="74"/>
      <x:c r="X115" s="74"/>
      <x:c r="Y115" s="74"/>
      <x:c r="Z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  <x:c r="W116" s="74"/>
      <x:c r="X116" s="74"/>
      <x:c r="Y116" s="74"/>
      <x:c r="Z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  <x:c r="W117" s="74"/>
      <x:c r="X117" s="74"/>
      <x:c r="Y117" s="74"/>
      <x:c r="Z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  <x:c r="W118" s="74"/>
      <x:c r="X118" s="74"/>
      <x:c r="Y118" s="74"/>
      <x:c r="Z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  <x:c r="W119" s="74"/>
      <x:c r="X119" s="74"/>
      <x:c r="Y119" s="74"/>
      <x:c r="Z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  <x:c r="W120" s="74"/>
      <x:c r="X120" s="74"/>
      <x:c r="Y120" s="74"/>
      <x:c r="Z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  <x:c r="W121" s="74"/>
      <x:c r="X121" s="74"/>
      <x:c r="Y121" s="74"/>
      <x:c r="Z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  <x:c r="W122" s="74"/>
      <x:c r="X122" s="74"/>
      <x:c r="Y122" s="74"/>
      <x:c r="Z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  <x:c r="W123" s="74"/>
      <x:c r="X123" s="74"/>
      <x:c r="Y123" s="74"/>
      <x:c r="Z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  <x:c r="W124" s="74"/>
      <x:c r="X124" s="74"/>
      <x:c r="Y124" s="74"/>
      <x:c r="Z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  <x:c r="W125" s="74"/>
      <x:c r="X125" s="74"/>
      <x:c r="Y125" s="74"/>
      <x:c r="Z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  <x:c r="W126" s="74"/>
      <x:c r="X126" s="74"/>
      <x:c r="Y126" s="74"/>
      <x:c r="Z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  <x:c r="W127" s="74"/>
      <x:c r="X127" s="74"/>
      <x:c r="Y127" s="74"/>
      <x:c r="Z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  <x:c r="W128" s="74"/>
      <x:c r="X128" s="74"/>
      <x:c r="Y128" s="74"/>
      <x:c r="Z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  <x:c r="W129" s="74"/>
      <x:c r="X129" s="74"/>
      <x:c r="Y129" s="74"/>
      <x:c r="Z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  <x:c r="W130" s="74"/>
      <x:c r="X130" s="74"/>
      <x:c r="Y130" s="74"/>
      <x:c r="Z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  <x:c r="W131" s="74"/>
      <x:c r="X131" s="74"/>
      <x:c r="Y131" s="74"/>
      <x:c r="Z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  <x:c r="W132" s="74"/>
      <x:c r="X132" s="74"/>
      <x:c r="Y132" s="74"/>
      <x:c r="Z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  <x:c r="W133" s="74"/>
      <x:c r="X133" s="74"/>
      <x:c r="Y133" s="74"/>
      <x:c r="Z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  <x:c r="W134" s="74"/>
      <x:c r="X134" s="74"/>
      <x:c r="Y134" s="74"/>
      <x:c r="Z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  <x:c r="W135" s="74"/>
      <x:c r="X135" s="74"/>
      <x:c r="Y135" s="74"/>
      <x:c r="Z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  <x:c r="W136" s="74"/>
      <x:c r="X136" s="74"/>
      <x:c r="Y136" s="74"/>
      <x:c r="Z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  <x:c r="W137" s="74"/>
      <x:c r="X137" s="74"/>
      <x:c r="Y137" s="74"/>
      <x:c r="Z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  <x:c r="W138" s="74"/>
      <x:c r="X138" s="74"/>
      <x:c r="Y138" s="74"/>
      <x:c r="Z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  <x:c r="W139" s="74"/>
      <x:c r="X139" s="74"/>
      <x:c r="Y139" s="74"/>
      <x:c r="Z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  <x:c r="W140" s="74"/>
      <x:c r="X140" s="74"/>
      <x:c r="Y140" s="74"/>
      <x:c r="Z140" s="74"/>
    </x:row>
  </x:sheetData>
  <x:mergeCells>
    <x:mergeCell ref="A1:F2"/>
  </x:mergeCells>
  <x:pageMargins left="0.7" right="0.7" top="0.75" bottom="0.75" header="0.3" footer="0.3"/>
</x:worksheet>
</file>