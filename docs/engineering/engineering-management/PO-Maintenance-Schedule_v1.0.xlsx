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01_Maintenance_Schedule" sheetId="2" state="visible" r:id="rId2"/>
    <sheet xmlns:r="http://schemas.openxmlformats.org/officeDocument/2006/relationships" name="02_Maintenance_History" sheetId="3" state="visible" r:id="rId3"/>
    <sheet xmlns:r="http://schemas.openxmlformats.org/officeDocument/2006/relationships" name="03_Preventive_Checklists" sheetId="4" state="visible" r:id="rId4"/>
    <sheet xmlns:r="http://schemas.openxmlformats.org/officeDocument/2006/relationships" name="04_Backup_Verification" sheetId="5" state="visible" r:id="rId5"/>
    <sheet xmlns:r="http://schemas.openxmlformats.org/officeDocument/2006/relationships" name="05_Reference_Data" sheetId="6" state="visible" r:id="rId6"/>
    <sheet xmlns:r="http://schemas.openxmlformats.org/officeDocument/2006/relationships" name="06_Revision_History" sheetId="7" state="visible" r:id="rId7"/>
    <sheet xmlns:r="http://schemas.openxmlformats.org/officeDocument/2006/relationships" name="07_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'07_Dashboard'!E3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'07_Dashboard'!$D$4:$D$6</f>
            </numRef>
          </cat>
          <val>
            <numRef>
              <f>'07_Dashboard'!$E$4:$E$6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'07_Dashboard'!B3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'07_Dashboard'!$A$4:$A$6</f>
            </numRef>
          </cat>
          <val>
            <numRef>
              <f>'07_Dashboard'!$B$4:$B$6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intenanceSchedule" displayName="MaintenanceSchedule" ref="A3:N9" headerRowCount="1">
  <autoFilter ref="A3:N9"/>
  <tableColumns count="14">
    <tableColumn id="1" name="Maintenance ID"/>
    <tableColumn id="2" name="Linked CI ID"/>
    <tableColumn id="3" name="Asset ID"/>
    <tableColumn id="4" name="Maintenance Type"/>
    <tableColumn id="5" name="Task"/>
    <tableColumn id="6" name="Frequency"/>
    <tableColumn id="7" name="Scheduled Date"/>
    <tableColumn id="8" name="Owner"/>
    <tableColumn id="9" name="Status"/>
    <tableColumn id="10" name="Priority"/>
    <tableColumn id="11" name="Estimated Duration"/>
    <tableColumn id="12" name="Completion Date"/>
    <tableColumn id="13" name="Related Change ID"/>
    <tableColumn id="14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 Orion - Maintenance Schedule</t>
        </is>
      </c>
    </row>
    <row r="3">
      <c r="A3" t="inlineStr">
        <is>
          <t>Workbook</t>
        </is>
      </c>
      <c r="B3" t="inlineStr">
        <is>
          <t>PO-Maintenance-Schedule_v1.0.xlsx</t>
        </is>
      </c>
    </row>
    <row r="4">
      <c r="A4" t="inlineStr">
        <is>
          <t>Document ID</t>
        </is>
      </c>
      <c r="B4" t="inlineStr">
        <is>
          <t>EM-005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Sprint</t>
        </is>
      </c>
      <c r="B6" t="inlineStr">
        <is>
          <t>4</t>
        </is>
      </c>
    </row>
    <row r="7">
      <c r="A7" t="inlineStr">
        <is>
          <t>Engineering Session</t>
        </is>
      </c>
      <c r="B7" t="inlineStr">
        <is>
          <t>016</t>
        </is>
      </c>
    </row>
    <row r="8">
      <c r="A8" t="inlineStr">
        <is>
          <t>Status</t>
        </is>
      </c>
      <c r="B8" t="inlineStr">
        <is>
          <t>Baselined</t>
        </is>
      </c>
    </row>
    <row r="9">
      <c r="A9" t="inlineStr">
        <is>
          <t>Purpose</t>
        </is>
      </c>
      <c r="B9" t="inlineStr">
        <is>
          <t>Plan, track, and document preventive and corrective maintenance activities.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Maintenance Schedule</t>
        </is>
      </c>
    </row>
    <row r="3">
      <c r="A3" s="2" t="inlineStr">
        <is>
          <t>Maintenance ID</t>
        </is>
      </c>
      <c r="B3" s="2" t="inlineStr">
        <is>
          <t>Linked CI ID</t>
        </is>
      </c>
      <c r="C3" s="2" t="inlineStr">
        <is>
          <t>Asset ID</t>
        </is>
      </c>
      <c r="D3" s="2" t="inlineStr">
        <is>
          <t>Maintenance Type</t>
        </is>
      </c>
      <c r="E3" s="2" t="inlineStr">
        <is>
          <t>Task</t>
        </is>
      </c>
      <c r="F3" s="2" t="inlineStr">
        <is>
          <t>Frequency</t>
        </is>
      </c>
      <c r="G3" s="2" t="inlineStr">
        <is>
          <t>Scheduled Date</t>
        </is>
      </c>
      <c r="H3" s="2" t="inlineStr">
        <is>
          <t>Owner</t>
        </is>
      </c>
      <c r="I3" s="2" t="inlineStr">
        <is>
          <t>Status</t>
        </is>
      </c>
      <c r="J3" s="2" t="inlineStr">
        <is>
          <t>Priority</t>
        </is>
      </c>
      <c r="K3" s="2" t="inlineStr">
        <is>
          <t>Estimated Duration</t>
        </is>
      </c>
      <c r="L3" s="2" t="inlineStr">
        <is>
          <t>Completion Date</t>
        </is>
      </c>
      <c r="M3" s="2" t="inlineStr">
        <is>
          <t>Related Change ID</t>
        </is>
      </c>
      <c r="N3" s="2" t="inlineStr">
        <is>
          <t>Notes</t>
        </is>
      </c>
    </row>
    <row r="4">
      <c r="A4" t="inlineStr">
        <is>
          <t>MNT-001</t>
        </is>
      </c>
      <c r="B4" t="inlineStr">
        <is>
          <t>CI-003</t>
        </is>
      </c>
      <c r="C4" t="inlineStr">
        <is>
          <t>AST-003</t>
        </is>
      </c>
      <c r="D4" t="inlineStr">
        <is>
          <t>Firmware</t>
        </is>
      </c>
      <c r="E4" t="inlineStr">
        <is>
          <t>Review GL.iNet firmware</t>
        </is>
      </c>
      <c r="F4" t="inlineStr">
        <is>
          <t>Quarterly</t>
        </is>
      </c>
      <c r="G4" t="inlineStr">
        <is>
          <t>2026-10-30</t>
        </is>
      </c>
      <c r="H4" t="inlineStr">
        <is>
          <t>George Jordan</t>
        </is>
      </c>
      <c r="I4" t="inlineStr">
        <is>
          <t>Scheduled</t>
        </is>
      </c>
      <c r="J4" t="inlineStr">
        <is>
          <t>High</t>
        </is>
      </c>
      <c r="K4" t="inlineStr">
        <is>
          <t>30 min</t>
        </is>
      </c>
      <c r="L4" t="inlineStr"/>
      <c r="M4" t="inlineStr"/>
      <c r="N4" t="inlineStr"/>
    </row>
    <row r="5">
      <c r="A5" t="inlineStr">
        <is>
          <t>MNT-002</t>
        </is>
      </c>
      <c r="B5" t="inlineStr">
        <is>
          <t>CI-004</t>
        </is>
      </c>
      <c r="C5" t="inlineStr">
        <is>
          <t>AST-004</t>
        </is>
      </c>
      <c r="D5" t="inlineStr">
        <is>
          <t>OS Patch</t>
        </is>
      </c>
      <c r="E5" t="inlineStr">
        <is>
          <t>Apply Windows updates</t>
        </is>
      </c>
      <c r="F5" t="inlineStr">
        <is>
          <t>Monthly</t>
        </is>
      </c>
      <c r="G5" t="inlineStr">
        <is>
          <t>2026-08-15</t>
        </is>
      </c>
      <c r="H5" t="inlineStr">
        <is>
          <t>George Jordan</t>
        </is>
      </c>
      <c r="I5" t="inlineStr">
        <is>
          <t>Scheduled</t>
        </is>
      </c>
      <c r="J5" t="inlineStr">
        <is>
          <t>High</t>
        </is>
      </c>
      <c r="K5" t="inlineStr">
        <is>
          <t>60 min</t>
        </is>
      </c>
      <c r="L5" t="inlineStr"/>
      <c r="M5" t="inlineStr"/>
      <c r="N5" t="inlineStr"/>
    </row>
    <row r="6">
      <c r="A6" t="inlineStr">
        <is>
          <t>MNT-003</t>
        </is>
      </c>
      <c r="B6" t="inlineStr">
        <is>
          <t>CI-006</t>
        </is>
      </c>
      <c r="C6" t="inlineStr"/>
      <c r="D6" t="inlineStr">
        <is>
          <t>Application</t>
        </is>
      </c>
      <c r="E6" t="inlineStr">
        <is>
          <t>Update Home Assistant OS</t>
        </is>
      </c>
      <c r="F6" t="inlineStr">
        <is>
          <t>Monthly</t>
        </is>
      </c>
      <c r="G6" t="inlineStr">
        <is>
          <t>2026-08-20</t>
        </is>
      </c>
      <c r="H6" t="inlineStr">
        <is>
          <t>George Jordan</t>
        </is>
      </c>
      <c r="I6" t="inlineStr">
        <is>
          <t>Scheduled</t>
        </is>
      </c>
      <c r="J6" t="inlineStr">
        <is>
          <t>High</t>
        </is>
      </c>
      <c r="K6" t="inlineStr">
        <is>
          <t>45 min</t>
        </is>
      </c>
      <c r="L6" t="inlineStr"/>
      <c r="M6" t="inlineStr"/>
      <c r="N6" t="inlineStr"/>
    </row>
    <row r="7">
      <c r="A7" t="inlineStr">
        <is>
          <t>MNT-004</t>
        </is>
      </c>
      <c r="B7" t="inlineStr">
        <is>
          <t>CI-007</t>
        </is>
      </c>
      <c r="C7" t="inlineStr">
        <is>
          <t>AST-006</t>
        </is>
      </c>
      <c r="D7" t="inlineStr">
        <is>
          <t>Inspection</t>
        </is>
      </c>
      <c r="E7" t="inlineStr">
        <is>
          <t>Test video doorbell</t>
        </is>
      </c>
      <c r="F7" t="inlineStr">
        <is>
          <t>Monthly</t>
        </is>
      </c>
      <c r="G7" t="inlineStr">
        <is>
          <t>2026-08-10</t>
        </is>
      </c>
      <c r="H7" t="inlineStr">
        <is>
          <t>George Jordan</t>
        </is>
      </c>
      <c r="I7" t="inlineStr">
        <is>
          <t>Scheduled</t>
        </is>
      </c>
      <c r="J7" t="inlineStr">
        <is>
          <t>Medium</t>
        </is>
      </c>
      <c r="K7" t="inlineStr">
        <is>
          <t>15 min</t>
        </is>
      </c>
      <c r="L7" t="inlineStr"/>
      <c r="M7" t="inlineStr"/>
      <c r="N7" t="inlineStr"/>
    </row>
    <row r="8">
      <c r="A8" t="inlineStr">
        <is>
          <t>MNT-005</t>
        </is>
      </c>
      <c r="B8" t="inlineStr">
        <is>
          <t>CI-008</t>
        </is>
      </c>
      <c r="C8" t="inlineStr">
        <is>
          <t>AST-007</t>
        </is>
      </c>
      <c r="D8" t="inlineStr">
        <is>
          <t>Inspection</t>
        </is>
      </c>
      <c r="E8" t="inlineStr">
        <is>
          <t>Clean and test camera</t>
        </is>
      </c>
      <c r="F8" t="inlineStr">
        <is>
          <t>Quarterly</t>
        </is>
      </c>
      <c r="G8" t="inlineStr">
        <is>
          <t>2026-09-15</t>
        </is>
      </c>
      <c r="H8" t="inlineStr">
        <is>
          <t>George Jordan</t>
        </is>
      </c>
      <c r="I8" t="inlineStr">
        <is>
          <t>Planned</t>
        </is>
      </c>
      <c r="J8" t="inlineStr">
        <is>
          <t>Medium</t>
        </is>
      </c>
      <c r="K8" t="inlineStr">
        <is>
          <t>30 min</t>
        </is>
      </c>
      <c r="L8" t="inlineStr"/>
      <c r="M8" t="inlineStr"/>
      <c r="N8" t="inlineStr"/>
    </row>
    <row r="9">
      <c r="A9" t="inlineStr">
        <is>
          <t>MNT-006</t>
        </is>
      </c>
      <c r="B9" t="inlineStr">
        <is>
          <t>CI-004</t>
        </is>
      </c>
      <c r="C9" t="inlineStr">
        <is>
          <t>AST-004</t>
        </is>
      </c>
      <c r="D9" t="inlineStr">
        <is>
          <t>Backup</t>
        </is>
      </c>
      <c r="E9" t="inlineStr">
        <is>
          <t>Verify Home Assistant backups</t>
        </is>
      </c>
      <c r="F9" t="inlineStr">
        <is>
          <t>Weekly</t>
        </is>
      </c>
      <c r="G9" t="inlineStr">
        <is>
          <t>2026-08-02</t>
        </is>
      </c>
      <c r="H9" t="inlineStr">
        <is>
          <t>George Jordan</t>
        </is>
      </c>
      <c r="I9" t="inlineStr">
        <is>
          <t>Scheduled</t>
        </is>
      </c>
      <c r="J9" t="inlineStr">
        <is>
          <t>Critical</t>
        </is>
      </c>
      <c r="K9" t="inlineStr">
        <is>
          <t>20 min</t>
        </is>
      </c>
      <c r="L9" t="inlineStr"/>
      <c r="M9" t="inlineStr"/>
      <c r="N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Maintenance History</t>
        </is>
      </c>
    </row>
    <row r="2">
      <c r="A2" t="inlineStr">
        <is>
          <t>Maintenance ID</t>
        </is>
      </c>
      <c r="B2" t="inlineStr">
        <is>
          <t>Completed Date</t>
        </is>
      </c>
      <c r="C2" t="inlineStr">
        <is>
          <t>Engineer</t>
        </is>
      </c>
      <c r="D2" t="inlineStr">
        <is>
          <t>Outcome</t>
        </is>
      </c>
      <c r="E2" t="inlineStr">
        <is>
          <t>Evidence</t>
        </is>
      </c>
      <c r="F2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Preventive Checklists</t>
        </is>
      </c>
    </row>
    <row r="2">
      <c r="A2" t="inlineStr">
        <is>
          <t>Checklist ID</t>
        </is>
      </c>
      <c r="B2" t="inlineStr">
        <is>
          <t>Category</t>
        </is>
      </c>
      <c r="C2" t="inlineStr">
        <is>
          <t>Checklist Item</t>
        </is>
      </c>
      <c r="D2" t="inlineStr">
        <is>
          <t>Required (Y/N)</t>
        </is>
      </c>
    </row>
    <row r="3">
      <c r="A3" t="inlineStr">
        <is>
          <t>CHK-001</t>
        </is>
      </c>
      <c r="B3" t="inlineStr">
        <is>
          <t>Router</t>
        </is>
      </c>
      <c r="C3" t="inlineStr">
        <is>
          <t>Review firmware release notes</t>
        </is>
      </c>
      <c r="D3" t="inlineStr">
        <is>
          <t>Y</t>
        </is>
      </c>
    </row>
    <row r="4">
      <c r="A4" t="inlineStr">
        <is>
          <t>CHK-002</t>
        </is>
      </c>
      <c r="B4" t="inlineStr">
        <is>
          <t>Server</t>
        </is>
      </c>
      <c r="C4" t="inlineStr">
        <is>
          <t>Verify successful reboot</t>
        </is>
      </c>
      <c r="D4" t="inlineStr">
        <is>
          <t>Y</t>
        </is>
      </c>
    </row>
    <row r="5">
      <c r="A5" t="inlineStr">
        <is>
          <t>CHK-003</t>
        </is>
      </c>
      <c r="B5" t="inlineStr">
        <is>
          <t>Camera</t>
        </is>
      </c>
      <c r="C5" t="inlineStr">
        <is>
          <t>Confirm video recording</t>
        </is>
      </c>
      <c r="D5" t="inlineStr">
        <is>
          <t>Y</t>
        </is>
      </c>
    </row>
    <row r="6">
      <c r="A6" t="inlineStr">
        <is>
          <t>CHK-004</t>
        </is>
      </c>
      <c r="B6" t="inlineStr">
        <is>
          <t>Backups</t>
        </is>
      </c>
      <c r="C6" t="inlineStr">
        <is>
          <t>Verify restore point</t>
        </is>
      </c>
      <c r="D6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Backup Verification</t>
        </is>
      </c>
    </row>
    <row r="2">
      <c r="A2" t="inlineStr">
        <is>
          <t>Backup ID</t>
        </is>
      </c>
      <c r="B2" t="inlineStr">
        <is>
          <t>System</t>
        </is>
      </c>
      <c r="C2" t="inlineStr">
        <is>
          <t>Backup Date</t>
        </is>
      </c>
      <c r="D2" t="inlineStr">
        <is>
          <t>Restore Test Date</t>
        </is>
      </c>
      <c r="E2" t="inlineStr">
        <is>
          <t>Status</t>
        </is>
      </c>
      <c r="F2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Reference Data</t>
        </is>
      </c>
    </row>
    <row r="3">
      <c r="A3" t="inlineStr">
        <is>
          <t>Status</t>
        </is>
      </c>
    </row>
    <row r="4">
      <c r="A4" t="inlineStr">
        <is>
          <t>Planned</t>
        </is>
      </c>
    </row>
    <row r="5">
      <c r="A5" t="inlineStr">
        <is>
          <t>Scheduled</t>
        </is>
      </c>
    </row>
    <row r="6">
      <c r="A6" t="inlineStr">
        <is>
          <t>In Progress</t>
        </is>
      </c>
    </row>
    <row r="7">
      <c r="A7" t="inlineStr">
        <is>
          <t>Completed</t>
        </is>
      </c>
    </row>
    <row r="8">
      <c r="A8" t="inlineStr">
        <is>
          <t>Deferred</t>
        </is>
      </c>
    </row>
    <row r="9">
      <c r="A9" t="inlineStr">
        <is>
          <t>Cancelled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Revision History</t>
        </is>
      </c>
    </row>
    <row r="2">
      <c r="A2" t="inlineStr">
        <is>
          <t>Version</t>
        </is>
      </c>
      <c r="B2" t="inlineStr">
        <is>
          <t>Date</t>
        </is>
      </c>
      <c r="C2" t="inlineStr">
        <is>
          <t>Author</t>
        </is>
      </c>
      <c r="D2" t="inlineStr">
        <is>
          <t>Summary</t>
        </is>
      </c>
    </row>
    <row r="3">
      <c r="A3" t="inlineStr">
        <is>
          <t>1.0</t>
        </is>
      </c>
      <c r="B3" t="inlineStr">
        <is>
          <t>2026-07-30</t>
        </is>
      </c>
      <c r="C3" t="inlineStr">
        <is>
          <t>George Jordan</t>
        </is>
      </c>
      <c r="D3" t="inlineStr">
        <is>
          <t>Initial baseline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Dashboard</t>
        </is>
      </c>
    </row>
    <row r="3">
      <c r="A3" t="inlineStr">
        <is>
          <t>Metric</t>
        </is>
      </c>
      <c r="B3" t="inlineStr">
        <is>
          <t>Value</t>
        </is>
      </c>
      <c r="D3" t="inlineStr">
        <is>
          <t>Priority</t>
        </is>
      </c>
      <c r="E3" t="inlineStr">
        <is>
          <t>Count</t>
        </is>
      </c>
    </row>
    <row r="4">
      <c r="A4" t="inlineStr">
        <is>
          <t>Total Tasks</t>
        </is>
      </c>
      <c r="B4">
        <f>COUNTA('01_Maintenance_Schedule'!A4:A1000)</f>
        <v/>
      </c>
      <c r="D4" t="inlineStr">
        <is>
          <t>Critical</t>
        </is>
      </c>
      <c r="E4">
        <f>COUNTIF('01_Maintenance_Schedule'!J4:J1000,"Critical")</f>
        <v/>
      </c>
    </row>
    <row r="5">
      <c r="A5" t="inlineStr">
        <is>
          <t>Scheduled</t>
        </is>
      </c>
      <c r="B5">
        <f>COUNTIF('01_Maintenance_Schedule'!I4:I1000,"Scheduled")</f>
        <v/>
      </c>
      <c r="D5" t="inlineStr">
        <is>
          <t>High</t>
        </is>
      </c>
      <c r="E5">
        <f>COUNTIF('01_Maintenance_Schedule'!J4:J1000,"High")</f>
        <v/>
      </c>
    </row>
    <row r="6">
      <c r="A6" t="inlineStr">
        <is>
          <t>Planned</t>
        </is>
      </c>
      <c r="B6">
        <f>COUNTIF('01_Maintenance_Schedule'!I4:I1000,"Planned")</f>
        <v/>
      </c>
      <c r="D6" t="inlineStr">
        <is>
          <t>Medium</t>
        </is>
      </c>
      <c r="E6">
        <f>COUNTIF('01_Maintenance_Schedule'!J4:J1000,"Medium")</f>
        <v/>
      </c>
    </row>
    <row r="7">
      <c r="A7" t="inlineStr">
        <is>
          <t>Completed</t>
        </is>
      </c>
      <c r="B7">
        <f>COUNTIF('01_Maintenance_Schedule'!I4:I1000,"Completed")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2026-07-30T21:19:34Z</dcterms:created>
  <dcterms:modified xmlns:dcterms="http://purl.org/dc/terms/" xmlns:xsi="http://www.w3.org/2001/XMLSchema-instance" xsi:type="dcterms:W3CDTF">2026-07-30T21:19:34Z</dcterms:modified>
</cp:coreProperties>
</file>