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ome" sheetId="1" state="visible" r:id="rId1"/>
    <sheet xmlns:r="http://schemas.openxmlformats.org/officeDocument/2006/relationships" name="01_Firmware_Inventory" sheetId="2" state="visible" r:id="rId2"/>
    <sheet xmlns:r="http://schemas.openxmlformats.org/officeDocument/2006/relationships" name="02_Update_History" sheetId="3" state="visible" r:id="rId3"/>
    <sheet xmlns:r="http://schemas.openxmlformats.org/officeDocument/2006/relationships" name="03_Vendor_Advisories" sheetId="4" state="visible" r:id="rId4"/>
    <sheet xmlns:r="http://schemas.openxmlformats.org/officeDocument/2006/relationships" name="04_Maintenance_Windows" sheetId="5" state="visible" r:id="rId5"/>
    <sheet xmlns:r="http://schemas.openxmlformats.org/officeDocument/2006/relationships" name="05_Reference_Data" sheetId="6" state="visible" r:id="rId6"/>
    <sheet xmlns:r="http://schemas.openxmlformats.org/officeDocument/2006/relationships" name="06_Revision_History" sheetId="7" state="visible" r:id="rId7"/>
    <sheet xmlns:r="http://schemas.openxmlformats.org/officeDocument/2006/relationships" name="07_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0F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Firmware Compliance</a:t>
            </a:r>
          </a:p>
        </rich>
      </tx>
    </title>
    <plotArea>
      <pieChart>
        <varyColors val="1"/>
        <ser>
          <idx val="0"/>
          <order val="0"/>
          <tx>
            <strRef>
              <f>'07_Dashboard'!E3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'07_Dashboard'!$D$4:$D$7</f>
            </numRef>
          </cat>
          <val>
            <numRef>
              <f>'07_Dashboard'!$E$4:$E$7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Firmware KPIs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'07_Dashboard'!B3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'07_Dashboard'!$A$4:$A$7</f>
            </numRef>
          </cat>
          <val>
            <numRef>
              <f>'07_Dashboard'!$B$4:$B$7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irmwareInventory" displayName="FirmwareInventory" ref="A3:O8" headerRowCount="1">
  <autoFilter ref="A3:O8"/>
  <tableColumns count="15">
    <tableColumn id="1" name="Firmware ID"/>
    <tableColumn id="2" name="Linked CI ID"/>
    <tableColumn id="3" name="Asset ID"/>
    <tableColumn id="4" name="Device"/>
    <tableColumn id="5" name="Vendor"/>
    <tableColumn id="6" name="Current Version"/>
    <tableColumn id="7" name="Approved Version"/>
    <tableColumn id="8" name="Release Date"/>
    <tableColumn id="9" name="Compliance"/>
    <tableColumn id="10" name="End of Support"/>
    <tableColumn id="11" name="Last Updated"/>
    <tableColumn id="12" name="Next Review"/>
    <tableColumn id="13" name="Rollback Available"/>
    <tableColumn id="14" name="Security Advisory"/>
    <tableColumn id="15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Project Orion - Firmware Tracker</t>
        </is>
      </c>
    </row>
    <row r="3">
      <c r="A3" t="inlineStr">
        <is>
          <t>Workbook</t>
        </is>
      </c>
      <c r="B3" t="inlineStr">
        <is>
          <t>PO-Firmware-Tracker_v1.0.xlsx</t>
        </is>
      </c>
    </row>
    <row r="4">
      <c r="A4" t="inlineStr">
        <is>
          <t>Document ID</t>
        </is>
      </c>
      <c r="B4" t="inlineStr">
        <is>
          <t>EM-004</t>
        </is>
      </c>
    </row>
    <row r="5">
      <c r="A5" t="inlineStr">
        <is>
          <t>Version</t>
        </is>
      </c>
      <c r="B5" t="inlineStr">
        <is>
          <t>1.0</t>
        </is>
      </c>
    </row>
    <row r="6">
      <c r="A6" t="inlineStr">
        <is>
          <t>Sprint</t>
        </is>
      </c>
      <c r="B6" t="inlineStr">
        <is>
          <t>4</t>
        </is>
      </c>
    </row>
    <row r="7">
      <c r="A7" t="inlineStr">
        <is>
          <t>Engineering Session</t>
        </is>
      </c>
      <c r="B7" t="inlineStr">
        <is>
          <t>015</t>
        </is>
      </c>
    </row>
    <row r="8">
      <c r="A8" t="inlineStr">
        <is>
          <t>Status</t>
        </is>
      </c>
      <c r="B8" t="inlineStr">
        <is>
          <t>Baselined</t>
        </is>
      </c>
    </row>
    <row r="9">
      <c r="A9" t="inlineStr">
        <is>
          <t>Purpose</t>
        </is>
      </c>
      <c r="B9" t="inlineStr">
        <is>
          <t>Track firmware/software versions and compliance for managed configuration items.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Firmware Inventory</t>
        </is>
      </c>
    </row>
    <row r="3">
      <c r="A3" s="2" t="inlineStr">
        <is>
          <t>Firmware ID</t>
        </is>
      </c>
      <c r="B3" s="2" t="inlineStr">
        <is>
          <t>Linked CI ID</t>
        </is>
      </c>
      <c r="C3" s="2" t="inlineStr">
        <is>
          <t>Asset ID</t>
        </is>
      </c>
      <c r="D3" s="2" t="inlineStr">
        <is>
          <t>Device</t>
        </is>
      </c>
      <c r="E3" s="2" t="inlineStr">
        <is>
          <t>Vendor</t>
        </is>
      </c>
      <c r="F3" s="2" t="inlineStr">
        <is>
          <t>Current Version</t>
        </is>
      </c>
      <c r="G3" s="2" t="inlineStr">
        <is>
          <t>Approved Version</t>
        </is>
      </c>
      <c r="H3" s="2" t="inlineStr">
        <is>
          <t>Release Date</t>
        </is>
      </c>
      <c r="I3" s="2" t="inlineStr">
        <is>
          <t>Compliance</t>
        </is>
      </c>
      <c r="J3" s="2" t="inlineStr">
        <is>
          <t>End of Support</t>
        </is>
      </c>
      <c r="K3" s="2" t="inlineStr">
        <is>
          <t>Last Updated</t>
        </is>
      </c>
      <c r="L3" s="2" t="inlineStr">
        <is>
          <t>Next Review</t>
        </is>
      </c>
      <c r="M3" s="2" t="inlineStr">
        <is>
          <t>Rollback Available</t>
        </is>
      </c>
      <c r="N3" s="2" t="inlineStr">
        <is>
          <t>Security Advisory</t>
        </is>
      </c>
      <c r="O3" s="2" t="inlineStr">
        <is>
          <t>Notes</t>
        </is>
      </c>
    </row>
    <row r="4">
      <c r="A4" t="inlineStr">
        <is>
          <t>FW-001</t>
        </is>
      </c>
      <c r="B4" t="inlineStr">
        <is>
          <t>CI-003</t>
        </is>
      </c>
      <c r="C4" t="inlineStr">
        <is>
          <t>AST-003</t>
        </is>
      </c>
      <c r="D4" t="inlineStr">
        <is>
          <t>GL.iNet Flint 2</t>
        </is>
      </c>
      <c r="E4" t="inlineStr">
        <is>
          <t>GL.iNet</t>
        </is>
      </c>
      <c r="F4" t="inlineStr">
        <is>
          <t>4.9.0</t>
        </is>
      </c>
      <c r="G4" t="inlineStr">
        <is>
          <t>4.9.0</t>
        </is>
      </c>
      <c r="H4" t="inlineStr">
        <is>
          <t>2026-01-15</t>
        </is>
      </c>
      <c r="I4" t="inlineStr">
        <is>
          <t>Compliant</t>
        </is>
      </c>
      <c r="J4" t="inlineStr"/>
      <c r="K4" t="inlineStr">
        <is>
          <t>2026-07-30</t>
        </is>
      </c>
      <c r="L4" t="inlineStr">
        <is>
          <t>2026-10-30</t>
        </is>
      </c>
      <c r="M4" t="inlineStr">
        <is>
          <t>Yes</t>
        </is>
      </c>
      <c r="N4" t="inlineStr">
        <is>
          <t>None</t>
        </is>
      </c>
      <c r="O4" t="inlineStr">
        <is>
          <t>Primary router</t>
        </is>
      </c>
    </row>
    <row r="5">
      <c r="A5" t="inlineStr">
        <is>
          <t>FW-002</t>
        </is>
      </c>
      <c r="B5" t="inlineStr">
        <is>
          <t>CI-004</t>
        </is>
      </c>
      <c r="C5" t="inlineStr">
        <is>
          <t>AST-004</t>
        </is>
      </c>
      <c r="D5" t="inlineStr">
        <is>
          <t>Dell OptiPlex 7060</t>
        </is>
      </c>
      <c r="E5" t="inlineStr">
        <is>
          <t>Dell</t>
        </is>
      </c>
      <c r="F5" t="inlineStr">
        <is>
          <t>Windows 11 24H2</t>
        </is>
      </c>
      <c r="G5" t="inlineStr">
        <is>
          <t>Windows 11 24H2</t>
        </is>
      </c>
      <c r="H5" t="inlineStr">
        <is>
          <t>2026-05-01</t>
        </is>
      </c>
      <c r="I5" t="inlineStr">
        <is>
          <t>Compliant</t>
        </is>
      </c>
      <c r="J5" t="inlineStr"/>
      <c r="K5" t="inlineStr">
        <is>
          <t>2026-07-30</t>
        </is>
      </c>
      <c r="L5" t="inlineStr">
        <is>
          <t>2026-10-30</t>
        </is>
      </c>
      <c r="M5" t="inlineStr">
        <is>
          <t>Yes</t>
        </is>
      </c>
      <c r="N5" t="inlineStr">
        <is>
          <t>None</t>
        </is>
      </c>
      <c r="O5" t="inlineStr">
        <is>
          <t>Host OS</t>
        </is>
      </c>
    </row>
    <row r="6">
      <c r="A6" t="inlineStr">
        <is>
          <t>FW-003</t>
        </is>
      </c>
      <c r="B6" t="inlineStr">
        <is>
          <t>CI-006</t>
        </is>
      </c>
      <c r="C6" t="inlineStr"/>
      <c r="D6" t="inlineStr">
        <is>
          <t>Home Assistant OS</t>
        </is>
      </c>
      <c r="E6" t="inlineStr">
        <is>
          <t>Nabu Casa</t>
        </is>
      </c>
      <c r="F6" t="inlineStr">
        <is>
          <t>15.x</t>
        </is>
      </c>
      <c r="G6" t="inlineStr">
        <is>
          <t>15.x</t>
        </is>
      </c>
      <c r="H6" t="inlineStr">
        <is>
          <t>2026-06-01</t>
        </is>
      </c>
      <c r="I6" t="inlineStr">
        <is>
          <t>Compliant</t>
        </is>
      </c>
      <c r="J6" t="inlineStr"/>
      <c r="K6" t="inlineStr">
        <is>
          <t>2026-07-30</t>
        </is>
      </c>
      <c r="L6" t="inlineStr">
        <is>
          <t>2026-09-30</t>
        </is>
      </c>
      <c r="M6" t="inlineStr">
        <is>
          <t>Yes</t>
        </is>
      </c>
      <c r="N6" t="inlineStr">
        <is>
          <t>None</t>
        </is>
      </c>
      <c r="O6" t="inlineStr">
        <is>
          <t>Platform</t>
        </is>
      </c>
    </row>
    <row r="7">
      <c r="A7" t="inlineStr">
        <is>
          <t>FW-004</t>
        </is>
      </c>
      <c r="B7" t="inlineStr">
        <is>
          <t>CI-007</t>
        </is>
      </c>
      <c r="C7" t="inlineStr">
        <is>
          <t>AST-006</t>
        </is>
      </c>
      <c r="D7" t="inlineStr">
        <is>
          <t>Reolink Doorbell</t>
        </is>
      </c>
      <c r="E7" t="inlineStr">
        <is>
          <t>Reolink</t>
        </is>
      </c>
      <c r="F7" t="inlineStr">
        <is>
          <t>Planned</t>
        </is>
      </c>
      <c r="G7" t="inlineStr">
        <is>
          <t>Latest Stable</t>
        </is>
      </c>
      <c r="H7" t="inlineStr"/>
      <c r="I7" t="inlineStr">
        <is>
          <t>Planned</t>
        </is>
      </c>
      <c r="J7" t="inlineStr"/>
      <c r="K7" t="inlineStr"/>
      <c r="L7" t="inlineStr"/>
      <c r="M7" t="inlineStr">
        <is>
          <t>TBD</t>
        </is>
      </c>
      <c r="N7" t="inlineStr">
        <is>
          <t>Monitor</t>
        </is>
      </c>
      <c r="O7" t="inlineStr">
        <is>
          <t>Awaiting install</t>
        </is>
      </c>
    </row>
    <row r="8">
      <c r="A8" t="inlineStr">
        <is>
          <t>FW-005</t>
        </is>
      </c>
      <c r="B8" t="inlineStr">
        <is>
          <t>CI-008</t>
        </is>
      </c>
      <c r="C8" t="inlineStr">
        <is>
          <t>AST-007</t>
        </is>
      </c>
      <c r="D8" t="inlineStr">
        <is>
          <t>Reolink E1 Outdoor Pro</t>
        </is>
      </c>
      <c r="E8" t="inlineStr">
        <is>
          <t>Reolink</t>
        </is>
      </c>
      <c r="F8" t="inlineStr">
        <is>
          <t>Planned</t>
        </is>
      </c>
      <c r="G8" t="inlineStr">
        <is>
          <t>Latest Stable</t>
        </is>
      </c>
      <c r="H8" t="inlineStr"/>
      <c r="I8" t="inlineStr">
        <is>
          <t>Planned</t>
        </is>
      </c>
      <c r="J8" t="inlineStr"/>
      <c r="K8" t="inlineStr"/>
      <c r="L8" t="inlineStr"/>
      <c r="M8" t="inlineStr">
        <is>
          <t>TBD</t>
        </is>
      </c>
      <c r="N8" t="inlineStr">
        <is>
          <t>Monitor</t>
        </is>
      </c>
      <c r="O8" t="inlineStr">
        <is>
          <t>Awaiting install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Update History</t>
        </is>
      </c>
    </row>
    <row r="2">
      <c r="A2" t="inlineStr">
        <is>
          <t>Change ID</t>
        </is>
      </c>
      <c r="B2" t="inlineStr">
        <is>
          <t>Firmware ID</t>
        </is>
      </c>
      <c r="C2" t="inlineStr">
        <is>
          <t>Date</t>
        </is>
      </c>
      <c r="D2" t="inlineStr">
        <is>
          <t>Previous Version</t>
        </is>
      </c>
      <c r="E2" t="inlineStr">
        <is>
          <t>New Version</t>
        </is>
      </c>
      <c r="F2" t="inlineStr">
        <is>
          <t>Engineer</t>
        </is>
      </c>
      <c r="G2" t="inlineStr">
        <is>
          <t>Outcome</t>
        </is>
      </c>
      <c r="H2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Vendor Advisories</t>
        </is>
      </c>
    </row>
    <row r="2">
      <c r="A2" t="inlineStr">
        <is>
          <t>Vendor</t>
        </is>
      </c>
      <c r="B2" t="inlineStr">
        <is>
          <t>Advisory ID</t>
        </is>
      </c>
      <c r="C2" t="inlineStr">
        <is>
          <t>Severity</t>
        </is>
      </c>
      <c r="D2" t="inlineStr">
        <is>
          <t>Affected Product</t>
        </is>
      </c>
      <c r="E2" t="inlineStr">
        <is>
          <t>Status</t>
        </is>
      </c>
      <c r="F2" t="inlineStr">
        <is>
          <t>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Maintenance Windows</t>
        </is>
      </c>
    </row>
    <row r="2">
      <c r="A2" t="inlineStr">
        <is>
          <t>Window ID</t>
        </is>
      </c>
      <c r="B2" t="inlineStr">
        <is>
          <t>CI ID</t>
        </is>
      </c>
      <c r="C2" t="inlineStr">
        <is>
          <t>Device</t>
        </is>
      </c>
      <c r="D2" t="inlineStr">
        <is>
          <t>Scheduled Date</t>
        </is>
      </c>
      <c r="E2" t="inlineStr">
        <is>
          <t>Duration</t>
        </is>
      </c>
      <c r="F2" t="inlineStr">
        <is>
          <t>Status</t>
        </is>
      </c>
      <c r="G2" t="inlineStr">
        <is>
          <t>Owner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Reference Data</t>
        </is>
      </c>
    </row>
    <row r="3">
      <c r="A3" t="inlineStr">
        <is>
          <t>Compliance</t>
        </is>
      </c>
    </row>
    <row r="4">
      <c r="A4" t="inlineStr">
        <is>
          <t>Compliant</t>
        </is>
      </c>
    </row>
    <row r="5">
      <c r="A5" t="inlineStr">
        <is>
          <t>Non-Compliant</t>
        </is>
      </c>
    </row>
    <row r="6">
      <c r="A6" t="inlineStr">
        <is>
          <t>Planned</t>
        </is>
      </c>
    </row>
    <row r="7">
      <c r="A7" t="inlineStr">
        <is>
          <t>Review Required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Revision History</t>
        </is>
      </c>
    </row>
    <row r="2">
      <c r="A2" t="inlineStr">
        <is>
          <t>Version</t>
        </is>
      </c>
      <c r="B2" t="inlineStr">
        <is>
          <t>Date</t>
        </is>
      </c>
      <c r="C2" t="inlineStr">
        <is>
          <t>Author</t>
        </is>
      </c>
      <c r="D2" t="inlineStr">
        <is>
          <t>Summary</t>
        </is>
      </c>
    </row>
    <row r="3">
      <c r="A3" t="inlineStr">
        <is>
          <t>1.0</t>
        </is>
      </c>
      <c r="B3" t="inlineStr">
        <is>
          <t>2026-07-30</t>
        </is>
      </c>
      <c r="C3" t="inlineStr">
        <is>
          <t>George Jordan</t>
        </is>
      </c>
      <c r="D3" t="inlineStr">
        <is>
          <t>Initial baseline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Dashboard</t>
        </is>
      </c>
    </row>
    <row r="3">
      <c r="A3" t="inlineStr">
        <is>
          <t>Metric</t>
        </is>
      </c>
      <c r="B3" t="inlineStr">
        <is>
          <t>Value</t>
        </is>
      </c>
      <c r="D3" t="inlineStr">
        <is>
          <t>Compliance</t>
        </is>
      </c>
      <c r="E3" t="inlineStr">
        <is>
          <t>Count</t>
        </is>
      </c>
    </row>
    <row r="4">
      <c r="A4" t="inlineStr">
        <is>
          <t>Tracked Devices</t>
        </is>
      </c>
      <c r="B4">
        <f>COUNTA('01_Firmware_Inventory'!A4:A1000)</f>
        <v/>
      </c>
      <c r="D4" t="inlineStr">
        <is>
          <t>Compliant</t>
        </is>
      </c>
      <c r="E4">
        <f>COUNTIF('01_Firmware_Inventory'!I4:I1000,"Compliant")</f>
        <v/>
      </c>
    </row>
    <row r="5">
      <c r="A5" t="inlineStr">
        <is>
          <t>Compliant</t>
        </is>
      </c>
      <c r="B5">
        <f>COUNTIF('01_Firmware_Inventory'!I4:I1000,"Compliant")</f>
        <v/>
      </c>
      <c r="D5" t="inlineStr">
        <is>
          <t>Planned</t>
        </is>
      </c>
      <c r="E5">
        <f>COUNTIF('01_Firmware_Inventory'!I4:I1000,"Planned")</f>
        <v/>
      </c>
    </row>
    <row r="6">
      <c r="A6" t="inlineStr">
        <is>
          <t>Planned</t>
        </is>
      </c>
      <c r="B6">
        <f>COUNTIF('01_Firmware_Inventory'!I4:I1000,"Planned")</f>
        <v/>
      </c>
      <c r="D6" t="inlineStr">
        <is>
          <t>Non-Compliant</t>
        </is>
      </c>
      <c r="E6">
        <f>COUNTIF('01_Firmware_Inventory'!I4:I1000,"Non-Compliant")</f>
        <v/>
      </c>
    </row>
    <row r="7">
      <c r="A7" t="inlineStr">
        <is>
          <t>Review Required</t>
        </is>
      </c>
      <c r="B7">
        <f>COUNTIF('01_Firmware_Inventory'!I4:I1000,"Review Required")</f>
        <v/>
      </c>
      <c r="D7" t="inlineStr">
        <is>
          <t>Review Required</t>
        </is>
      </c>
      <c r="E7">
        <f>COUNTIF('01_Firmware_Inventory'!I4:I1000,"Review Required")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2026-07-30T21:17:24Z</dcterms:created>
  <dcterms:modified xmlns:dcterms="http://purl.org/dc/terms/" xmlns:xsi="http://www.w3.org/2001/XMLSchema-instance" xsi:type="dcterms:W3CDTF">2026-07-30T21:17:24Z</dcterms:modified>
</cp:coreProperties>
</file>