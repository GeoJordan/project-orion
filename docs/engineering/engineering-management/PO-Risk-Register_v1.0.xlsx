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01_Risk_Register" sheetId="2" state="visible" r:id="rId2"/>
    <sheet xmlns:r="http://schemas.openxmlformats.org/officeDocument/2006/relationships" name="02_Risk_Treatments" sheetId="3" state="visible" r:id="rId3"/>
    <sheet xmlns:r="http://schemas.openxmlformats.org/officeDocument/2006/relationships" name="03_Risk_Reviews" sheetId="4" state="visible" r:id="rId4"/>
    <sheet xmlns:r="http://schemas.openxmlformats.org/officeDocument/2006/relationships" name="04_Risk_Metrics" sheetId="5" state="visible" r:id="rId5"/>
    <sheet xmlns:r="http://schemas.openxmlformats.org/officeDocument/2006/relationships" name="05_Reference_Data" sheetId="6" state="visible" r:id="rId6"/>
    <sheet xmlns:r="http://schemas.openxmlformats.org/officeDocument/2006/relationships" name="06_Revision_History" sheetId="7" state="visible" r:id="rId7"/>
    <sheet xmlns:r="http://schemas.openxmlformats.org/officeDocument/2006/relationships" name="07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'07_Dashboard'!E3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'07_Dashboard'!$D$4:$D$6</f>
            </numRef>
          </cat>
          <val>
            <numRef>
              <f>'07_Dashboard'!$E$4:$E$6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'07_Dashboard'!B3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'07_Dashboard'!$A$4:$A$5</f>
            </numRef>
          </cat>
          <val>
            <numRef>
              <f>'07_Dashboard'!$B$4:$B$5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iskRegister" displayName="RiskRegister" ref="A3:P8" headerRowCount="1">
  <autoFilter ref="A3:P8"/>
  <tableColumns count="16">
    <tableColumn id="1" name="Risk ID"/>
    <tableColumn id="2" name="Title"/>
    <tableColumn id="3" name="Linked CI ID"/>
    <tableColumn id="4" name="Asset ID"/>
    <tableColumn id="5" name="Related Change ID"/>
    <tableColumn id="6" name="Category"/>
    <tableColumn id="7" name="Likelihood"/>
    <tableColumn id="8" name="Impact"/>
    <tableColumn id="9" name="Inherent Risk"/>
    <tableColumn id="10" name="Residual Risk"/>
    <tableColumn id="11" name="Owner"/>
    <tableColumn id="12" name="Treatment Strategy"/>
    <tableColumn id="13" name="Status"/>
    <tableColumn id="14" name="Review Date"/>
    <tableColumn id="15" name="Evidence"/>
    <tableColumn id="1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 Orion - Risk Register</t>
        </is>
      </c>
    </row>
    <row r="3">
      <c r="A3" t="inlineStr">
        <is>
          <t>Workbook</t>
        </is>
      </c>
      <c r="B3" t="inlineStr">
        <is>
          <t>PO-Risk-Register_v1.0.xlsx</t>
        </is>
      </c>
    </row>
    <row r="4">
      <c r="A4" t="inlineStr">
        <is>
          <t>Document ID</t>
        </is>
      </c>
      <c r="B4" t="inlineStr">
        <is>
          <t>EM-007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Sprint</t>
        </is>
      </c>
      <c r="B6" t="inlineStr">
        <is>
          <t>4</t>
        </is>
      </c>
    </row>
    <row r="7">
      <c r="A7" t="inlineStr">
        <is>
          <t>Engineering Session</t>
        </is>
      </c>
      <c r="B7" t="inlineStr">
        <is>
          <t>018</t>
        </is>
      </c>
    </row>
    <row r="8">
      <c r="A8" t="inlineStr">
        <is>
          <t>Status</t>
        </is>
      </c>
      <c r="B8" t="inlineStr">
        <is>
          <t>Baselined</t>
        </is>
      </c>
    </row>
    <row r="9">
      <c r="A9" t="inlineStr">
        <is>
          <t>Purpose</t>
        </is>
      </c>
      <c r="B9" t="inlineStr">
        <is>
          <t>Track operational, infrastructure, and cybersecurity risks across Project Orion.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Risk Register</t>
        </is>
      </c>
    </row>
    <row r="3">
      <c r="A3" s="2" t="inlineStr">
        <is>
          <t>Risk ID</t>
        </is>
      </c>
      <c r="B3" s="2" t="inlineStr">
        <is>
          <t>Title</t>
        </is>
      </c>
      <c r="C3" s="2" t="inlineStr">
        <is>
          <t>Linked CI ID</t>
        </is>
      </c>
      <c r="D3" s="2" t="inlineStr">
        <is>
          <t>Asset ID</t>
        </is>
      </c>
      <c r="E3" s="2" t="inlineStr">
        <is>
          <t>Related Change ID</t>
        </is>
      </c>
      <c r="F3" s="2" t="inlineStr">
        <is>
          <t>Category</t>
        </is>
      </c>
      <c r="G3" s="2" t="inlineStr">
        <is>
          <t>Likelihood</t>
        </is>
      </c>
      <c r="H3" s="2" t="inlineStr">
        <is>
          <t>Impact</t>
        </is>
      </c>
      <c r="I3" s="2" t="inlineStr">
        <is>
          <t>Inherent Risk</t>
        </is>
      </c>
      <c r="J3" s="2" t="inlineStr">
        <is>
          <t>Residual Risk</t>
        </is>
      </c>
      <c r="K3" s="2" t="inlineStr">
        <is>
          <t>Owner</t>
        </is>
      </c>
      <c r="L3" s="2" t="inlineStr">
        <is>
          <t>Treatment Strategy</t>
        </is>
      </c>
      <c r="M3" s="2" t="inlineStr">
        <is>
          <t>Status</t>
        </is>
      </c>
      <c r="N3" s="2" t="inlineStr">
        <is>
          <t>Review Date</t>
        </is>
      </c>
      <c r="O3" s="2" t="inlineStr">
        <is>
          <t>Evidence</t>
        </is>
      </c>
      <c r="P3" s="2" t="inlineStr">
        <is>
          <t>Notes</t>
        </is>
      </c>
    </row>
    <row r="4">
      <c r="A4" t="inlineStr">
        <is>
          <t>RSK-001</t>
        </is>
      </c>
      <c r="B4" t="inlineStr">
        <is>
          <t>Router firmware vulnerability</t>
        </is>
      </c>
      <c r="C4" t="inlineStr">
        <is>
          <t>CI-003</t>
        </is>
      </c>
      <c r="D4" t="inlineStr">
        <is>
          <t>AST-003</t>
        </is>
      </c>
      <c r="E4" t="inlineStr">
        <is>
          <t>CHG-001</t>
        </is>
      </c>
      <c r="F4" t="inlineStr">
        <is>
          <t>Cybersecurity</t>
        </is>
      </c>
      <c r="G4" t="inlineStr">
        <is>
          <t>Medium</t>
        </is>
      </c>
      <c r="H4" t="inlineStr">
        <is>
          <t>High</t>
        </is>
      </c>
      <c r="I4" t="inlineStr">
        <is>
          <t>High</t>
        </is>
      </c>
      <c r="J4" t="inlineStr">
        <is>
          <t>Medium</t>
        </is>
      </c>
      <c r="K4" t="inlineStr">
        <is>
          <t>George Jordan</t>
        </is>
      </c>
      <c r="L4" t="inlineStr">
        <is>
          <t>Mitigate</t>
        </is>
      </c>
      <c r="M4" t="inlineStr">
        <is>
          <t>Open</t>
        </is>
      </c>
      <c r="N4" t="inlineStr">
        <is>
          <t>2026-10-30</t>
        </is>
      </c>
      <c r="O4" t="inlineStr">
        <is>
          <t>Firmware review</t>
        </is>
      </c>
      <c r="P4" t="inlineStr"/>
    </row>
    <row r="5">
      <c r="A5" t="inlineStr">
        <is>
          <t>RSK-002</t>
        </is>
      </c>
      <c r="B5" t="inlineStr">
        <is>
          <t>Server patch backlog</t>
        </is>
      </c>
      <c r="C5" t="inlineStr">
        <is>
          <t>CI-004</t>
        </is>
      </c>
      <c r="D5" t="inlineStr">
        <is>
          <t>AST-004</t>
        </is>
      </c>
      <c r="E5" t="inlineStr">
        <is>
          <t>CHG-002</t>
        </is>
      </c>
      <c r="F5" t="inlineStr">
        <is>
          <t>Operations</t>
        </is>
      </c>
      <c r="G5" t="inlineStr">
        <is>
          <t>Medium</t>
        </is>
      </c>
      <c r="H5" t="inlineStr">
        <is>
          <t>High</t>
        </is>
      </c>
      <c r="I5" t="inlineStr">
        <is>
          <t>High</t>
        </is>
      </c>
      <c r="J5" t="inlineStr">
        <is>
          <t>Low</t>
        </is>
      </c>
      <c r="K5" t="inlineStr">
        <is>
          <t>George Jordan</t>
        </is>
      </c>
      <c r="L5" t="inlineStr">
        <is>
          <t>Mitigate</t>
        </is>
      </c>
      <c r="M5" t="inlineStr">
        <is>
          <t>Open</t>
        </is>
      </c>
      <c r="N5" t="inlineStr">
        <is>
          <t>2026-08-31</t>
        </is>
      </c>
      <c r="O5" t="inlineStr">
        <is>
          <t>Patch records</t>
        </is>
      </c>
      <c r="P5" t="inlineStr"/>
    </row>
    <row r="6">
      <c r="A6" t="inlineStr">
        <is>
          <t>RSK-003</t>
        </is>
      </c>
      <c r="B6" t="inlineStr">
        <is>
          <t>Home Assistant backup failure</t>
        </is>
      </c>
      <c r="C6" t="inlineStr">
        <is>
          <t>CI-006</t>
        </is>
      </c>
      <c r="D6" t="inlineStr"/>
      <c r="E6" t="inlineStr"/>
      <c r="F6" t="inlineStr">
        <is>
          <t>Business Continuity</t>
        </is>
      </c>
      <c r="G6" t="inlineStr">
        <is>
          <t>Low</t>
        </is>
      </c>
      <c r="H6" t="inlineStr">
        <is>
          <t>High</t>
        </is>
      </c>
      <c r="I6" t="inlineStr">
        <is>
          <t>Medium</t>
        </is>
      </c>
      <c r="J6" t="inlineStr">
        <is>
          <t>Low</t>
        </is>
      </c>
      <c r="K6" t="inlineStr">
        <is>
          <t>George Jordan</t>
        </is>
      </c>
      <c r="L6" t="inlineStr">
        <is>
          <t>Mitigate</t>
        </is>
      </c>
      <c r="M6" t="inlineStr">
        <is>
          <t>Monitoring</t>
        </is>
      </c>
      <c r="N6" t="inlineStr">
        <is>
          <t>2026-08-31</t>
        </is>
      </c>
      <c r="O6" t="inlineStr">
        <is>
          <t>Backup tests</t>
        </is>
      </c>
      <c r="P6" t="inlineStr"/>
    </row>
    <row r="7">
      <c r="A7" t="inlineStr">
        <is>
          <t>RSK-004</t>
        </is>
      </c>
      <c r="B7" t="inlineStr">
        <is>
          <t>Camera outage</t>
        </is>
      </c>
      <c r="C7" t="inlineStr">
        <is>
          <t>CI-008</t>
        </is>
      </c>
      <c r="D7" t="inlineStr">
        <is>
          <t>AST-007</t>
        </is>
      </c>
      <c r="E7" t="inlineStr"/>
      <c r="F7" t="inlineStr">
        <is>
          <t>Availability</t>
        </is>
      </c>
      <c r="G7" t="inlineStr">
        <is>
          <t>Low</t>
        </is>
      </c>
      <c r="H7" t="inlineStr">
        <is>
          <t>Medium</t>
        </is>
      </c>
      <c r="I7" t="inlineStr">
        <is>
          <t>Low</t>
        </is>
      </c>
      <c r="J7" t="inlineStr">
        <is>
          <t>Low</t>
        </is>
      </c>
      <c r="K7" t="inlineStr">
        <is>
          <t>George Jordan</t>
        </is>
      </c>
      <c r="L7" t="inlineStr">
        <is>
          <t>Accept</t>
        </is>
      </c>
      <c r="M7" t="inlineStr">
        <is>
          <t>Monitoring</t>
        </is>
      </c>
      <c r="N7" t="inlineStr">
        <is>
          <t>2026-09-30</t>
        </is>
      </c>
      <c r="O7" t="inlineStr">
        <is>
          <t>Health checks</t>
        </is>
      </c>
      <c r="P7" t="inlineStr"/>
    </row>
    <row r="8">
      <c r="A8" t="inlineStr">
        <is>
          <t>RSK-005</t>
        </is>
      </c>
      <c r="B8" t="inlineStr">
        <is>
          <t>Unauthorized IoT access</t>
        </is>
      </c>
      <c r="C8" t="inlineStr">
        <is>
          <t>CI-009</t>
        </is>
      </c>
      <c r="D8" t="inlineStr">
        <is>
          <t>AST-008</t>
        </is>
      </c>
      <c r="E8" t="inlineStr"/>
      <c r="F8" t="inlineStr">
        <is>
          <t>Cybersecurity</t>
        </is>
      </c>
      <c r="G8" t="inlineStr">
        <is>
          <t>Medium</t>
        </is>
      </c>
      <c r="H8" t="inlineStr">
        <is>
          <t>High</t>
        </is>
      </c>
      <c r="I8" t="inlineStr">
        <is>
          <t>High</t>
        </is>
      </c>
      <c r="J8" t="inlineStr">
        <is>
          <t>Medium</t>
        </is>
      </c>
      <c r="K8" t="inlineStr">
        <is>
          <t>George Jordan</t>
        </is>
      </c>
      <c r="L8" t="inlineStr">
        <is>
          <t>Mitigate</t>
        </is>
      </c>
      <c r="M8" t="inlineStr">
        <is>
          <t>Open</t>
        </is>
      </c>
      <c r="N8" t="inlineStr">
        <is>
          <t>2026-09-30</t>
        </is>
      </c>
      <c r="O8" t="inlineStr">
        <is>
          <t>Network segmentation</t>
        </is>
      </c>
      <c r="P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Risk Treatments</t>
        </is>
      </c>
    </row>
    <row r="2">
      <c r="A2" t="inlineStr">
        <is>
          <t>Risk ID</t>
        </is>
      </c>
      <c r="B2" t="inlineStr">
        <is>
          <t>Action</t>
        </is>
      </c>
      <c r="C2" t="inlineStr">
        <is>
          <t>Owner</t>
        </is>
      </c>
      <c r="D2" t="inlineStr">
        <is>
          <t>Target Date</t>
        </is>
      </c>
      <c r="E2" t="inlineStr">
        <is>
          <t>Status</t>
        </is>
      </c>
      <c r="F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Risk Reviews</t>
        </is>
      </c>
    </row>
    <row r="2">
      <c r="A2" t="inlineStr">
        <is>
          <t>Risk ID</t>
        </is>
      </c>
      <c r="B2" t="inlineStr">
        <is>
          <t>Review Date</t>
        </is>
      </c>
      <c r="C2" t="inlineStr">
        <is>
          <t>Reviewer</t>
        </is>
      </c>
      <c r="D2" t="inlineStr">
        <is>
          <t>Residual Risk</t>
        </is>
      </c>
      <c r="E2" t="inlineStr">
        <is>
          <t>Decision</t>
        </is>
      </c>
      <c r="F2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Risk Metrics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Open Risks</t>
        </is>
      </c>
      <c r="B3">
        <f>COUNTIF('01_Risk_Register'!M4:M1000,"Open")</f>
        <v/>
      </c>
    </row>
    <row r="4">
      <c r="A4" t="inlineStr">
        <is>
          <t>Monitoring</t>
        </is>
      </c>
      <c r="B4">
        <f>COUNTIF('01_Risk_Register'!M4:M1000,"Monitoring")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Reference Data</t>
        </is>
      </c>
    </row>
    <row r="3">
      <c r="A3" t="inlineStr">
        <is>
          <t>Treatment</t>
        </is>
      </c>
      <c r="C3" t="inlineStr">
        <is>
          <t>Risk Level</t>
        </is>
      </c>
    </row>
    <row r="4">
      <c r="A4" t="inlineStr">
        <is>
          <t>Mitigate</t>
        </is>
      </c>
      <c r="C4" t="inlineStr">
        <is>
          <t>Low</t>
        </is>
      </c>
    </row>
    <row r="5">
      <c r="A5" t="inlineStr">
        <is>
          <t>Accept</t>
        </is>
      </c>
      <c r="C5" t="inlineStr">
        <is>
          <t>Medium</t>
        </is>
      </c>
    </row>
    <row r="6">
      <c r="A6" t="inlineStr">
        <is>
          <t>Transfer</t>
        </is>
      </c>
      <c r="C6" t="inlineStr">
        <is>
          <t>High</t>
        </is>
      </c>
    </row>
    <row r="7">
      <c r="A7" t="inlineStr">
        <is>
          <t>Avoid</t>
        </is>
      </c>
      <c r="C7" t="inlineStr">
        <is>
          <t>Critical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Revision History</t>
        </is>
      </c>
    </row>
    <row r="2">
      <c r="A2" t="inlineStr">
        <is>
          <t>Version</t>
        </is>
      </c>
      <c r="B2" t="inlineStr">
        <is>
          <t>Date</t>
        </is>
      </c>
      <c r="C2" t="inlineStr">
        <is>
          <t>Author</t>
        </is>
      </c>
      <c r="D2" t="inlineStr">
        <is>
          <t>Summary</t>
        </is>
      </c>
    </row>
    <row r="3">
      <c r="A3" t="inlineStr">
        <is>
          <t>1.0</t>
        </is>
      </c>
      <c r="B3" t="inlineStr">
        <is>
          <t>2026-07-30</t>
        </is>
      </c>
      <c r="C3" t="inlineStr">
        <is>
          <t>George Jordan</t>
        </is>
      </c>
      <c r="D3" t="inlineStr">
        <is>
          <t>Initial baseline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Dashboard</t>
        </is>
      </c>
    </row>
    <row r="3">
      <c r="A3" t="inlineStr">
        <is>
          <t>Metric</t>
        </is>
      </c>
      <c r="B3" t="inlineStr">
        <is>
          <t>Value</t>
        </is>
      </c>
      <c r="D3" t="inlineStr">
        <is>
          <t>Inherent Risk</t>
        </is>
      </c>
      <c r="E3" t="inlineStr">
        <is>
          <t>Count</t>
        </is>
      </c>
    </row>
    <row r="4">
      <c r="A4" t="inlineStr">
        <is>
          <t>Total Risks</t>
        </is>
      </c>
      <c r="B4">
        <f>COUNTA('01_Risk_Register'!A4:A1000)</f>
        <v/>
      </c>
      <c r="D4" t="inlineStr">
        <is>
          <t>High</t>
        </is>
      </c>
      <c r="E4">
        <f>COUNTIF('01_Risk_Register'!I4:I1000,"High")</f>
        <v/>
      </c>
    </row>
    <row r="5">
      <c r="A5" t="inlineStr">
        <is>
          <t>Open</t>
        </is>
      </c>
      <c r="B5">
        <f>COUNTIF('01_Risk_Register'!M4:M1000,"Open")</f>
        <v/>
      </c>
      <c r="D5" t="inlineStr">
        <is>
          <t>Medium</t>
        </is>
      </c>
      <c r="E5">
        <f>COUNTIF('01_Risk_Register'!I4:I1000,"Medium")</f>
        <v/>
      </c>
    </row>
    <row r="6">
      <c r="A6" t="inlineStr">
        <is>
          <t>Monitoring</t>
        </is>
      </c>
      <c r="B6">
        <f>COUNTIF('01_Risk_Register'!M4:M1000,"Monitoring")</f>
        <v/>
      </c>
      <c r="D6" t="inlineStr">
        <is>
          <t>Low</t>
        </is>
      </c>
      <c r="E6">
        <f>COUNTIF('01_Risk_Register'!I4:I1000,"Low")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2026-07-30T21:23:08Z</dcterms:created>
  <dcterms:modified xmlns:dcterms="http://purl.org/dc/terms/" xmlns:xsi="http://www.w3.org/2001/XMLSchema-instance" xsi:type="dcterms:W3CDTF">2026-07-30T21:23:08Z</dcterms:modified>
</cp:coreProperties>
</file>