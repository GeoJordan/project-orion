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IP_Address_Register" sheetId="2" state="visible" r:id="rId2"/>
    <sheet xmlns:r="http://schemas.openxmlformats.org/officeDocument/2006/relationships" name="02_Subnets" sheetId="3" state="visible" r:id="rId3"/>
    <sheet xmlns:r="http://schemas.openxmlformats.org/officeDocument/2006/relationships" name="03_DHCP_Reservations" sheetId="4" state="visible" r:id="rId4"/>
    <sheet xmlns:r="http://schemas.openxmlformats.org/officeDocument/2006/relationships" name="04_DNS_Hosts" sheetId="5" state="visible" r:id="rId5"/>
    <sheet xmlns:r="http://schemas.openxmlformats.org/officeDocument/2006/relationships" name="05_VLANs" sheetId="6" state="visible" r:id="rId6"/>
    <sheet xmlns:r="http://schemas.openxmlformats.org/officeDocument/2006/relationships" name="06_Reference_Data" sheetId="7" state="visible" r:id="rId7"/>
    <sheet xmlns:r="http://schemas.openxmlformats.org/officeDocument/2006/relationships" name="07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Address Assignment</a:t>
            </a:r>
          </a:p>
        </rich>
      </tx>
    </title>
    <plotArea>
      <pieChart>
        <varyColors val="1"/>
        <ser>
          <idx val="0"/>
          <order val="0"/>
          <tx>
            <strRef>
              <f>'07_Dashboard'!E3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'07_Dashboard'!$D$4:$D$5</f>
            </numRef>
          </cat>
          <val>
            <numRef>
              <f>'07_Dashboard'!$E$4:$E$5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IPAM KPIs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'07_Dashboard'!$A$4:$A$8</f>
            </numRef>
          </cat>
          <val>
            <numRef>
              <f>'07_Dashboard'!$B$4:$B$8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PRegister" displayName="IPRegister" ref="A3:L8" headerRowCount="1">
  <autoFilter ref="A3:L8"/>
  <tableColumns count="12">
    <tableColumn id="1" name="IP ID"/>
    <tableColumn id="2" name="Linked CI ID"/>
    <tableColumn id="3" name="Hostname"/>
    <tableColumn id="4" name="IPv4 Address"/>
    <tableColumn id="5" name="Assignment"/>
    <tableColumn id="6" name="Status"/>
    <tableColumn id="7" name="MAC Address"/>
    <tableColumn id="8" name="Subnet"/>
    <tableColumn id="9" name="Gateway"/>
    <tableColumn id="10" name="DNS Name"/>
    <tableColumn id="11" name="Device Type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Orion - IP Address Management (IPAM)</t>
        </is>
      </c>
    </row>
    <row r="3">
      <c r="A3" t="inlineStr">
        <is>
          <t>Workbook</t>
        </is>
      </c>
      <c r="B3" t="inlineStr">
        <is>
          <t>PO-IPAM_v1.0.xlsx</t>
        </is>
      </c>
    </row>
    <row r="4">
      <c r="A4" t="inlineStr">
        <is>
          <t>Document ID</t>
        </is>
      </c>
      <c r="B4" t="inlineStr">
        <is>
          <t>EM-003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Status</t>
        </is>
      </c>
      <c r="B6" t="inlineStr">
        <is>
          <t>Baselined</t>
        </is>
      </c>
    </row>
    <row r="7">
      <c r="A7" t="inlineStr">
        <is>
          <t>Sprint</t>
        </is>
      </c>
      <c r="B7" t="inlineStr">
        <is>
          <t>4</t>
        </is>
      </c>
    </row>
    <row r="8">
      <c r="A8" t="inlineStr">
        <is>
          <t>Engineering Session</t>
        </is>
      </c>
      <c r="B8" t="inlineStr">
        <is>
          <t>013</t>
        </is>
      </c>
    </row>
    <row r="9">
      <c r="A9" t="inlineStr">
        <is>
          <t>Purpose</t>
        </is>
      </c>
      <c r="B9" t="inlineStr">
        <is>
          <t>Authoritative IPv4, subnet and DNS inventory linked to the CMDB.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IP Address Register</t>
        </is>
      </c>
    </row>
    <row r="3">
      <c r="A3" s="2" t="inlineStr">
        <is>
          <t>IP ID</t>
        </is>
      </c>
      <c r="B3" s="2" t="inlineStr">
        <is>
          <t>Linked CI ID</t>
        </is>
      </c>
      <c r="C3" s="2" t="inlineStr">
        <is>
          <t>Hostname</t>
        </is>
      </c>
      <c r="D3" s="2" t="inlineStr">
        <is>
          <t>IPv4 Address</t>
        </is>
      </c>
      <c r="E3" s="2" t="inlineStr">
        <is>
          <t>Assignment</t>
        </is>
      </c>
      <c r="F3" s="2" t="inlineStr">
        <is>
          <t>Status</t>
        </is>
      </c>
      <c r="G3" s="2" t="inlineStr">
        <is>
          <t>MAC Address</t>
        </is>
      </c>
      <c r="H3" s="2" t="inlineStr">
        <is>
          <t>Subnet</t>
        </is>
      </c>
      <c r="I3" s="2" t="inlineStr">
        <is>
          <t>Gateway</t>
        </is>
      </c>
      <c r="J3" s="2" t="inlineStr">
        <is>
          <t>DNS Name</t>
        </is>
      </c>
      <c r="K3" s="2" t="inlineStr">
        <is>
          <t>Device Type</t>
        </is>
      </c>
      <c r="L3" s="2" t="inlineStr">
        <is>
          <t>Notes</t>
        </is>
      </c>
    </row>
    <row r="4">
      <c r="A4" t="inlineStr">
        <is>
          <t>IP-001</t>
        </is>
      </c>
      <c r="B4" t="inlineStr">
        <is>
          <t>CI-003</t>
        </is>
      </c>
      <c r="C4" t="inlineStr">
        <is>
          <t>orion-flint2</t>
        </is>
      </c>
      <c r="D4" t="inlineStr">
        <is>
          <t>192.168.50.1</t>
        </is>
      </c>
      <c r="E4" t="inlineStr">
        <is>
          <t>Static</t>
        </is>
      </c>
      <c r="F4" t="inlineStr">
        <is>
          <t>Active</t>
        </is>
      </c>
      <c r="G4" t="inlineStr"/>
      <c r="H4" t="inlineStr">
        <is>
          <t>192.168.50.0/24</t>
        </is>
      </c>
      <c r="I4" t="inlineStr">
        <is>
          <t>192.168.50.1</t>
        </is>
      </c>
      <c r="J4" t="inlineStr">
        <is>
          <t>orion-flint2</t>
        </is>
      </c>
      <c r="K4" t="inlineStr">
        <is>
          <t>Router</t>
        </is>
      </c>
      <c r="L4" t="inlineStr">
        <is>
          <t>Primary gateway</t>
        </is>
      </c>
    </row>
    <row r="5">
      <c r="A5" t="inlineStr">
        <is>
          <t>IP-002</t>
        </is>
      </c>
      <c r="B5" t="inlineStr">
        <is>
          <t>CI-004</t>
        </is>
      </c>
      <c r="C5" t="inlineStr">
        <is>
          <t>orion-node01</t>
        </is>
      </c>
      <c r="D5" t="inlineStr">
        <is>
          <t>192.168.50.10</t>
        </is>
      </c>
      <c r="E5" t="inlineStr">
        <is>
          <t>DHCP Reservation</t>
        </is>
      </c>
      <c r="F5" t="inlineStr">
        <is>
          <t>Planned</t>
        </is>
      </c>
      <c r="G5" t="inlineStr"/>
      <c r="H5" t="inlineStr">
        <is>
          <t>192.168.50.0/24</t>
        </is>
      </c>
      <c r="I5" t="inlineStr">
        <is>
          <t>192.168.50.1</t>
        </is>
      </c>
      <c r="J5" t="inlineStr">
        <is>
          <t>orion-node01</t>
        </is>
      </c>
      <c r="K5" t="inlineStr">
        <is>
          <t>Server</t>
        </is>
      </c>
      <c r="L5" t="inlineStr">
        <is>
          <t>Home Assistant host</t>
        </is>
      </c>
    </row>
    <row r="6">
      <c r="A6" t="inlineStr">
        <is>
          <t>IP-003</t>
        </is>
      </c>
      <c r="B6" t="inlineStr">
        <is>
          <t>CI-005</t>
        </is>
      </c>
      <c r="C6" t="inlineStr">
        <is>
          <t>orion-panel01</t>
        </is>
      </c>
      <c r="D6" t="inlineStr">
        <is>
          <t>192.168.50.20</t>
        </is>
      </c>
      <c r="E6" t="inlineStr">
        <is>
          <t>DHCP Reservation</t>
        </is>
      </c>
      <c r="F6" t="inlineStr">
        <is>
          <t>Planned</t>
        </is>
      </c>
      <c r="G6" t="inlineStr"/>
      <c r="H6" t="inlineStr">
        <is>
          <t>192.168.50.0/24</t>
        </is>
      </c>
      <c r="I6" t="inlineStr">
        <is>
          <t>192.168.50.1</t>
        </is>
      </c>
      <c r="J6" t="inlineStr">
        <is>
          <t>orion-panel01</t>
        </is>
      </c>
      <c r="K6" t="inlineStr">
        <is>
          <t>Tablet</t>
        </is>
      </c>
      <c r="L6" t="inlineStr">
        <is>
          <t>Wall dashboard</t>
        </is>
      </c>
    </row>
    <row r="7">
      <c r="A7" t="inlineStr">
        <is>
          <t>IP-004</t>
        </is>
      </c>
      <c r="B7" t="inlineStr">
        <is>
          <t>CI-007</t>
        </is>
      </c>
      <c r="C7" t="inlineStr">
        <is>
          <t>orion-doorbell01</t>
        </is>
      </c>
      <c r="D7" t="inlineStr">
        <is>
          <t>192.168.50.30</t>
        </is>
      </c>
      <c r="E7" t="inlineStr">
        <is>
          <t>DHCP Reservation</t>
        </is>
      </c>
      <c r="F7" t="inlineStr">
        <is>
          <t>Planned</t>
        </is>
      </c>
      <c r="G7" t="inlineStr"/>
      <c r="H7" t="inlineStr">
        <is>
          <t>192.168.50.0/24</t>
        </is>
      </c>
      <c r="I7" t="inlineStr">
        <is>
          <t>192.168.50.1</t>
        </is>
      </c>
      <c r="J7" t="inlineStr">
        <is>
          <t>orion-doorbell01</t>
        </is>
      </c>
      <c r="K7" t="inlineStr">
        <is>
          <t>Doorbell</t>
        </is>
      </c>
      <c r="L7" t="inlineStr"/>
    </row>
    <row r="8">
      <c r="A8" t="inlineStr">
        <is>
          <t>IP-005</t>
        </is>
      </c>
      <c r="B8" t="inlineStr">
        <is>
          <t>CI-008</t>
        </is>
      </c>
      <c r="C8" t="inlineStr">
        <is>
          <t>orion-camera01</t>
        </is>
      </c>
      <c r="D8" t="inlineStr">
        <is>
          <t>192.168.50.31</t>
        </is>
      </c>
      <c r="E8" t="inlineStr">
        <is>
          <t>DHCP Reservation</t>
        </is>
      </c>
      <c r="F8" t="inlineStr">
        <is>
          <t>Planned</t>
        </is>
      </c>
      <c r="G8" t="inlineStr"/>
      <c r="H8" t="inlineStr">
        <is>
          <t>192.168.50.0/24</t>
        </is>
      </c>
      <c r="I8" t="inlineStr">
        <is>
          <t>192.168.50.1</t>
        </is>
      </c>
      <c r="J8" t="inlineStr">
        <is>
          <t>orion-camera01</t>
        </is>
      </c>
      <c r="K8" t="inlineStr">
        <is>
          <t>Camera</t>
        </is>
      </c>
      <c r="L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Subnets</t>
        </is>
      </c>
    </row>
    <row r="2">
      <c r="A2" t="inlineStr">
        <is>
          <t>Subnet ID</t>
        </is>
      </c>
      <c r="B2" t="inlineStr">
        <is>
          <t>Subnet</t>
        </is>
      </c>
      <c r="C2" t="inlineStr">
        <is>
          <t>CIDR</t>
        </is>
      </c>
      <c r="D2" t="inlineStr">
        <is>
          <t>Gateway</t>
        </is>
      </c>
      <c r="E2" t="inlineStr">
        <is>
          <t>Purpose</t>
        </is>
      </c>
      <c r="F2" t="inlineStr">
        <is>
          <t>Status</t>
        </is>
      </c>
    </row>
    <row r="3">
      <c r="A3" t="inlineStr">
        <is>
          <t>SUB-001</t>
        </is>
      </c>
      <c r="B3" t="inlineStr">
        <is>
          <t>192.168.50.0</t>
        </is>
      </c>
      <c r="C3" t="inlineStr">
        <is>
          <t>/24</t>
        </is>
      </c>
      <c r="D3" t="inlineStr">
        <is>
          <t>192.168.50.1</t>
        </is>
      </c>
      <c r="E3" t="inlineStr">
        <is>
          <t>Primary LAN</t>
        </is>
      </c>
      <c r="F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DHCP Reservations</t>
        </is>
      </c>
    </row>
    <row r="2">
      <c r="A2" t="inlineStr">
        <is>
          <t>Reservation ID</t>
        </is>
      </c>
      <c r="B2" t="inlineStr">
        <is>
          <t>CI ID</t>
        </is>
      </c>
      <c r="C2" t="inlineStr">
        <is>
          <t>Hostname</t>
        </is>
      </c>
      <c r="D2" t="inlineStr">
        <is>
          <t>Reserved IP</t>
        </is>
      </c>
      <c r="E2" t="inlineStr">
        <is>
          <t>MAC Address</t>
        </is>
      </c>
      <c r="F2" t="inlineStr">
        <is>
          <t>Status</t>
        </is>
      </c>
    </row>
    <row r="3">
      <c r="A3" t="inlineStr">
        <is>
          <t>RES-001</t>
        </is>
      </c>
      <c r="B3" t="inlineStr">
        <is>
          <t>CI-004</t>
        </is>
      </c>
      <c r="C3" t="inlineStr">
        <is>
          <t>orion-node01</t>
        </is>
      </c>
      <c r="D3" t="inlineStr">
        <is>
          <t>192.168.50.10</t>
        </is>
      </c>
      <c r="E3" t="inlineStr"/>
      <c r="F3" t="inlineStr">
        <is>
          <t>Planned</t>
        </is>
      </c>
    </row>
    <row r="4">
      <c r="A4" t="inlineStr">
        <is>
          <t>RES-002</t>
        </is>
      </c>
      <c r="B4" t="inlineStr">
        <is>
          <t>CI-005</t>
        </is>
      </c>
      <c r="C4" t="inlineStr">
        <is>
          <t>orion-panel01</t>
        </is>
      </c>
      <c r="D4" t="inlineStr">
        <is>
          <t>192.168.50.20</t>
        </is>
      </c>
      <c r="E4" t="inlineStr"/>
      <c r="F4" t="inlineStr">
        <is>
          <t>Planned</t>
        </is>
      </c>
    </row>
    <row r="5">
      <c r="A5" t="inlineStr">
        <is>
          <t>RES-003</t>
        </is>
      </c>
      <c r="B5" t="inlineStr">
        <is>
          <t>CI-007</t>
        </is>
      </c>
      <c r="C5" t="inlineStr">
        <is>
          <t>orion-doorbell01</t>
        </is>
      </c>
      <c r="D5" t="inlineStr">
        <is>
          <t>192.168.50.30</t>
        </is>
      </c>
      <c r="E5" t="inlineStr"/>
      <c r="F5" t="inlineStr">
        <is>
          <t>Planned</t>
        </is>
      </c>
    </row>
    <row r="6">
      <c r="A6" t="inlineStr">
        <is>
          <t>RES-004</t>
        </is>
      </c>
      <c r="B6" t="inlineStr">
        <is>
          <t>CI-008</t>
        </is>
      </c>
      <c r="C6" t="inlineStr">
        <is>
          <t>orion-camera01</t>
        </is>
      </c>
      <c r="D6" t="inlineStr">
        <is>
          <t>192.168.50.31</t>
        </is>
      </c>
      <c r="E6" t="inlineStr"/>
      <c r="F6" t="inlineStr">
        <is>
          <t>Planned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DNS Hosts</t>
        </is>
      </c>
    </row>
    <row r="2">
      <c r="A2" t="inlineStr">
        <is>
          <t>Host</t>
        </is>
      </c>
      <c r="B2" t="inlineStr">
        <is>
          <t>IP Address</t>
        </is>
      </c>
      <c r="C2" t="inlineStr">
        <is>
          <t>Linked CI</t>
        </is>
      </c>
      <c r="D2" t="inlineStr">
        <is>
          <t>Status</t>
        </is>
      </c>
    </row>
    <row r="3">
      <c r="A3" t="inlineStr">
        <is>
          <t>orion-flint2</t>
        </is>
      </c>
      <c r="B3" t="inlineStr">
        <is>
          <t>192.168.50.1</t>
        </is>
      </c>
      <c r="C3" t="inlineStr">
        <is>
          <t>CI-003</t>
        </is>
      </c>
      <c r="D3" t="inlineStr">
        <is>
          <t>Active</t>
        </is>
      </c>
    </row>
    <row r="4">
      <c r="A4" t="inlineStr">
        <is>
          <t>orion-node01</t>
        </is>
      </c>
      <c r="B4" t="inlineStr">
        <is>
          <t>192.168.50.10</t>
        </is>
      </c>
      <c r="C4" t="inlineStr">
        <is>
          <t>CI-004</t>
        </is>
      </c>
      <c r="D4" t="inlineStr">
        <is>
          <t>Planned</t>
        </is>
      </c>
    </row>
    <row r="5">
      <c r="A5" t="inlineStr">
        <is>
          <t>orion-panel01</t>
        </is>
      </c>
      <c r="B5" t="inlineStr">
        <is>
          <t>192.168.50.20</t>
        </is>
      </c>
      <c r="C5" t="inlineStr">
        <is>
          <t>CI-005</t>
        </is>
      </c>
      <c r="D5" t="inlineStr">
        <is>
          <t>Planned</t>
        </is>
      </c>
    </row>
    <row r="6">
      <c r="A6" t="inlineStr">
        <is>
          <t>orion-doorbell01</t>
        </is>
      </c>
      <c r="B6" t="inlineStr">
        <is>
          <t>192.168.50.30</t>
        </is>
      </c>
      <c r="C6" t="inlineStr">
        <is>
          <t>CI-007</t>
        </is>
      </c>
      <c r="D6" t="inlineStr">
        <is>
          <t>Planned</t>
        </is>
      </c>
    </row>
    <row r="7">
      <c r="A7" t="inlineStr">
        <is>
          <t>orion-camera01</t>
        </is>
      </c>
      <c r="B7" t="inlineStr">
        <is>
          <t>192.168.50.31</t>
        </is>
      </c>
      <c r="C7" t="inlineStr">
        <is>
          <t>CI-008</t>
        </is>
      </c>
      <c r="D7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VLANs</t>
        </is>
      </c>
    </row>
    <row r="2">
      <c r="A2" t="inlineStr">
        <is>
          <t>VLAN ID</t>
        </is>
      </c>
      <c r="B2" t="inlineStr">
        <is>
          <t>Name</t>
        </is>
      </c>
      <c r="C2" t="inlineStr">
        <is>
          <t>Subnet</t>
        </is>
      </c>
      <c r="D2" t="inlineStr">
        <is>
          <t>Purpose</t>
        </is>
      </c>
      <c r="E2" t="inlineStr">
        <is>
          <t>Status</t>
        </is>
      </c>
    </row>
    <row r="3">
      <c r="A3" t="n">
        <v>1</v>
      </c>
      <c r="B3" t="inlineStr">
        <is>
          <t>Project Orion LAN</t>
        </is>
      </c>
      <c r="C3" t="inlineStr">
        <is>
          <t>192.168.50.0/24</t>
        </is>
      </c>
      <c r="D3" t="inlineStr">
        <is>
          <t>Trusted LAN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Reference Data</t>
        </is>
      </c>
    </row>
    <row r="3">
      <c r="A3" t="inlineStr">
        <is>
          <t>Assignment Types</t>
        </is>
      </c>
    </row>
    <row r="4">
      <c r="A4" t="inlineStr">
        <is>
          <t>Static</t>
        </is>
      </c>
    </row>
    <row r="5">
      <c r="A5" t="inlineStr">
        <is>
          <t>DHCP</t>
        </is>
      </c>
    </row>
    <row r="6">
      <c r="A6" t="inlineStr">
        <is>
          <t>DHCP Reservation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Dashboard</t>
        </is>
      </c>
    </row>
    <row r="3">
      <c r="A3" t="inlineStr">
        <is>
          <t>Metric</t>
        </is>
      </c>
      <c r="B3" t="inlineStr">
        <is>
          <t>Value</t>
        </is>
      </c>
      <c r="D3" t="inlineStr">
        <is>
          <t>Assignment</t>
        </is>
      </c>
      <c r="E3" t="inlineStr">
        <is>
          <t>Count</t>
        </is>
      </c>
    </row>
    <row r="4">
      <c r="A4" t="inlineStr">
        <is>
          <t>Total IP Records</t>
        </is>
      </c>
      <c r="B4">
        <f>COUNTA('01_IP_Address_Register'!A4:A1000)</f>
        <v/>
      </c>
      <c r="D4" t="inlineStr">
        <is>
          <t>Static</t>
        </is>
      </c>
      <c r="E4">
        <f>COUNTIF('01_IP_Address_Register'!E4:E1000,"Static")</f>
        <v/>
      </c>
    </row>
    <row r="5">
      <c r="A5" t="inlineStr">
        <is>
          <t>Static</t>
        </is>
      </c>
      <c r="B5">
        <f>COUNTIF('01_IP_Address_Register'!E4:E1000,"Static")</f>
        <v/>
      </c>
      <c r="D5" t="inlineStr">
        <is>
          <t>DHCP Reservation</t>
        </is>
      </c>
      <c r="E5">
        <f>COUNTIF('01_IP_Address_Register'!E4:E1000,"DHCP Reservation")</f>
        <v/>
      </c>
    </row>
    <row r="6">
      <c r="A6" t="inlineStr">
        <is>
          <t>DHCP Reservations</t>
        </is>
      </c>
      <c r="B6">
        <f>COUNTIF('01_IP_Address_Register'!E4:E1000,"DHCP Reservation")</f>
        <v/>
      </c>
    </row>
    <row r="7">
      <c r="A7" t="inlineStr">
        <is>
          <t>Active</t>
        </is>
      </c>
      <c r="B7">
        <f>COUNTIF('01_IP_Address_Register'!F4:F1000,"Active")</f>
        <v/>
      </c>
    </row>
    <row r="8">
      <c r="A8" t="inlineStr">
        <is>
          <t>Planned</t>
        </is>
      </c>
      <c r="B8">
        <f>COUNTIF('01_IP_Address_Register'!F4:F1000,"Planned")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2026-07-30T21:09:14Z</dcterms:created>
  <dcterms:modified xmlns:dcterms="http://purl.org/dc/terms/" xmlns:xsi="http://www.w3.org/2001/XMLSchema-instance" xsi:type="dcterms:W3CDTF">2026-07-30T21:09:14Z</dcterms:modified>
</cp:coreProperties>
</file>