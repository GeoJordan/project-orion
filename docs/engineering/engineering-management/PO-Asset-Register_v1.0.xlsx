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Asset_Register" sheetId="2" state="visible" r:id="rId2"/>
    <sheet xmlns:r="http://schemas.openxmlformats.org/officeDocument/2006/relationships" name="02_Vendors" sheetId="3" state="visible" r:id="rId3"/>
    <sheet xmlns:r="http://schemas.openxmlformats.org/officeDocument/2006/relationships" name="03_Warranty_and_Support" sheetId="4" state="visible" r:id="rId4"/>
    <sheet xmlns:r="http://schemas.openxmlformats.org/officeDocument/2006/relationships" name="04_Procurement" sheetId="5" state="visible" r:id="rId5"/>
    <sheet xmlns:r="http://schemas.openxmlformats.org/officeDocument/2006/relationships" name="05_Disposal_and_Retirement" sheetId="6" state="visible" r:id="rId6"/>
    <sheet xmlns:r="http://schemas.openxmlformats.org/officeDocument/2006/relationships" name="06_Reference_Data" sheetId="7" state="visible" r:id="rId7"/>
    <sheet xmlns:r="http://schemas.openxmlformats.org/officeDocument/2006/relationships" name="07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Assets by Category</a:t>
            </a:r>
          </a:p>
        </rich>
      </tx>
    </title>
    <plotArea>
      <pieChart>
        <varyColors val="1"/>
        <ser>
          <idx val="0"/>
          <order val="0"/>
          <tx>
            <strRef>
              <f>'07_Dashboard'!E3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'07_Dashboard'!$D$4:$D$8</f>
            </numRef>
          </cat>
          <val>
            <numRef>
              <f>'07_Dashboard'!$E$4:$E$8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Lifecycle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'07_Dashboard'!$A$4:$A$6</f>
            </numRef>
          </cat>
          <val>
            <numRef>
              <f>'07_Dashboard'!$B$4:$B$6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etRegister" displayName="AssetRegister" ref="A3:R12" headerRowCount="1">
  <autoFilter ref="A3:R12"/>
  <tableColumns count="18">
    <tableColumn id="1" name="Asset ID"/>
    <tableColumn id="2" name="Linked CI ID"/>
    <tableColumn id="3" name="Asset Tag"/>
    <tableColumn id="4" name="Asset Name"/>
    <tableColumn id="5" name="Category"/>
    <tableColumn id="6" name="Manufacturer"/>
    <tableColumn id="7" name="Model"/>
    <tableColumn id="8" name="Serial Number"/>
    <tableColumn id="9" name="Purchase Date"/>
    <tableColumn id="10" name="Purchase Cost (USD)"/>
    <tableColumn id="11" name="Vendor"/>
    <tableColumn id="12" name="Warranty Expiration"/>
    <tableColumn id="13" name="Support Status"/>
    <tableColumn id="14" name="Location"/>
    <tableColumn id="15" name="Assigned To"/>
    <tableColumn id="16" name="Lifecycle Status"/>
    <tableColumn id="17" name="Disposal Date"/>
    <tableColumn id="1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Orion - Asset Register</t>
        </is>
      </c>
    </row>
    <row r="3">
      <c r="A3" t="inlineStr">
        <is>
          <t>Workbook</t>
        </is>
      </c>
      <c r="B3" t="inlineStr">
        <is>
          <t>PO-Asset-Register_v1.0.xlsx</t>
        </is>
      </c>
      <c r="D3" t="inlineStr">
        <is>
          <t>Purpose</t>
        </is>
      </c>
    </row>
    <row r="4">
      <c r="A4" t="inlineStr">
        <is>
          <t>Project</t>
        </is>
      </c>
      <c r="B4" t="inlineStr">
        <is>
          <t>Project Orion</t>
        </is>
      </c>
      <c r="D4" t="inlineStr">
        <is>
          <t>Authoritative inventory of physical assets linked to the CMDB.</t>
        </is>
      </c>
    </row>
    <row r="5">
      <c r="A5" t="inlineStr">
        <is>
          <t>Document ID</t>
        </is>
      </c>
      <c r="B5" t="inlineStr">
        <is>
          <t>EM-002</t>
        </is>
      </c>
    </row>
    <row r="6">
      <c r="A6" t="inlineStr">
        <is>
          <t>Version</t>
        </is>
      </c>
      <c r="B6" t="inlineStr">
        <is>
          <t>1.0</t>
        </is>
      </c>
    </row>
    <row r="7">
      <c r="A7" t="inlineStr">
        <is>
          <t>Status</t>
        </is>
      </c>
      <c r="B7" t="inlineStr">
        <is>
          <t>Baselined</t>
        </is>
      </c>
    </row>
    <row r="8">
      <c r="A8" t="inlineStr">
        <is>
          <t>Sprint</t>
        </is>
      </c>
      <c r="B8" t="inlineStr">
        <is>
          <t>4</t>
        </is>
      </c>
    </row>
    <row r="9">
      <c r="A9" t="inlineStr">
        <is>
          <t>Session</t>
        </is>
      </c>
      <c r="B9" t="inlineStr">
        <is>
          <t>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Asset Register</t>
        </is>
      </c>
    </row>
    <row r="3">
      <c r="A3" s="2" t="inlineStr">
        <is>
          <t>Asset ID</t>
        </is>
      </c>
      <c r="B3" s="2" t="inlineStr">
        <is>
          <t>Linked CI ID</t>
        </is>
      </c>
      <c r="C3" s="2" t="inlineStr">
        <is>
          <t>Asset Tag</t>
        </is>
      </c>
      <c r="D3" s="2" t="inlineStr">
        <is>
          <t>Asset Name</t>
        </is>
      </c>
      <c r="E3" s="2" t="inlineStr">
        <is>
          <t>Category</t>
        </is>
      </c>
      <c r="F3" s="2" t="inlineStr">
        <is>
          <t>Manufacturer</t>
        </is>
      </c>
      <c r="G3" s="2" t="inlineStr">
        <is>
          <t>Model</t>
        </is>
      </c>
      <c r="H3" s="2" t="inlineStr">
        <is>
          <t>Serial Number</t>
        </is>
      </c>
      <c r="I3" s="2" t="inlineStr">
        <is>
          <t>Purchase Date</t>
        </is>
      </c>
      <c r="J3" s="2" t="inlineStr">
        <is>
          <t>Purchase Cost (USD)</t>
        </is>
      </c>
      <c r="K3" s="2" t="inlineStr">
        <is>
          <t>Vendor</t>
        </is>
      </c>
      <c r="L3" s="2" t="inlineStr">
        <is>
          <t>Warranty Expiration</t>
        </is>
      </c>
      <c r="M3" s="2" t="inlineStr">
        <is>
          <t>Support Status</t>
        </is>
      </c>
      <c r="N3" s="2" t="inlineStr">
        <is>
          <t>Location</t>
        </is>
      </c>
      <c r="O3" s="2" t="inlineStr">
        <is>
          <t>Assigned To</t>
        </is>
      </c>
      <c r="P3" s="2" t="inlineStr">
        <is>
          <t>Lifecycle Status</t>
        </is>
      </c>
      <c r="Q3" s="2" t="inlineStr">
        <is>
          <t>Disposal Date</t>
        </is>
      </c>
      <c r="R3" s="2" t="inlineStr">
        <is>
          <t>Notes</t>
        </is>
      </c>
    </row>
    <row r="4">
      <c r="A4" t="inlineStr">
        <is>
          <t>AST-001</t>
        </is>
      </c>
      <c r="B4" t="inlineStr">
        <is>
          <t>CI-001</t>
        </is>
      </c>
      <c r="C4" t="inlineStr">
        <is>
          <t>AT-001</t>
        </is>
      </c>
      <c r="D4" t="inlineStr">
        <is>
          <t>Verizon ONT</t>
        </is>
      </c>
      <c r="E4" t="inlineStr">
        <is>
          <t>Network</t>
        </is>
      </c>
      <c r="F4" t="inlineStr">
        <is>
          <t>Verizon</t>
        </is>
      </c>
      <c r="G4" t="inlineStr">
        <is>
          <t>Fios ONT</t>
        </is>
      </c>
      <c r="H4" t="inlineStr"/>
      <c r="I4" t="inlineStr"/>
      <c r="J4" t="inlineStr"/>
      <c r="K4" t="inlineStr">
        <is>
          <t>Verizon</t>
        </is>
      </c>
      <c r="L4" t="inlineStr"/>
      <c r="M4" t="inlineStr">
        <is>
          <t>ISP Managed</t>
        </is>
      </c>
      <c r="N4" t="inlineStr">
        <is>
          <t>Utility Area</t>
        </is>
      </c>
      <c r="O4" t="inlineStr">
        <is>
          <t>George Jordan</t>
        </is>
      </c>
      <c r="P4" t="inlineStr">
        <is>
          <t>Operational</t>
        </is>
      </c>
      <c r="Q4" t="inlineStr"/>
      <c r="R4" t="inlineStr">
        <is>
          <t>ISP equipment</t>
        </is>
      </c>
    </row>
    <row r="5">
      <c r="A5" t="inlineStr">
        <is>
          <t>AST-002</t>
        </is>
      </c>
      <c r="B5" t="inlineStr">
        <is>
          <t>CI-002</t>
        </is>
      </c>
      <c r="C5" t="inlineStr">
        <is>
          <t>AT-002</t>
        </is>
      </c>
      <c r="D5" t="inlineStr">
        <is>
          <t>Verizon CR1000A</t>
        </is>
      </c>
      <c r="E5" t="inlineStr">
        <is>
          <t>Network</t>
        </is>
      </c>
      <c r="F5" t="inlineStr">
        <is>
          <t>Verizon</t>
        </is>
      </c>
      <c r="G5" t="inlineStr">
        <is>
          <t>CR1000A</t>
        </is>
      </c>
      <c r="H5" t="inlineStr"/>
      <c r="I5" t="inlineStr"/>
      <c r="J5" t="inlineStr"/>
      <c r="K5" t="inlineStr">
        <is>
          <t>Verizon</t>
        </is>
      </c>
      <c r="L5" t="inlineStr"/>
      <c r="M5" t="inlineStr">
        <is>
          <t>ISP Managed</t>
        </is>
      </c>
      <c r="N5" t="inlineStr">
        <is>
          <t>Utility Area</t>
        </is>
      </c>
      <c r="O5" t="inlineStr">
        <is>
          <t>George Jordan</t>
        </is>
      </c>
      <c r="P5" t="inlineStr">
        <is>
          <t>Operational</t>
        </is>
      </c>
      <c r="Q5" t="inlineStr"/>
      <c r="R5" t="inlineStr">
        <is>
          <t>Backup router</t>
        </is>
      </c>
    </row>
    <row r="6">
      <c r="A6" t="inlineStr">
        <is>
          <t>AST-003</t>
        </is>
      </c>
      <c r="B6" t="inlineStr">
        <is>
          <t>CI-003</t>
        </is>
      </c>
      <c r="C6" t="inlineStr">
        <is>
          <t>AT-003</t>
        </is>
      </c>
      <c r="D6" t="inlineStr">
        <is>
          <t>GL.iNet Flint 2</t>
        </is>
      </c>
      <c r="E6" t="inlineStr">
        <is>
          <t>Network</t>
        </is>
      </c>
      <c r="F6" t="inlineStr">
        <is>
          <t>GL.iNet</t>
        </is>
      </c>
      <c r="G6" t="inlineStr">
        <is>
          <t>GL-MT6000</t>
        </is>
      </c>
      <c r="H6" t="inlineStr"/>
      <c r="I6" t="inlineStr"/>
      <c r="J6" t="inlineStr">
        <is>
          <t>159.99</t>
        </is>
      </c>
      <c r="K6" t="inlineStr">
        <is>
          <t>GL.iNet</t>
        </is>
      </c>
      <c r="L6" t="inlineStr"/>
      <c r="M6" t="inlineStr">
        <is>
          <t>None</t>
        </is>
      </c>
      <c r="N6" t="inlineStr">
        <is>
          <t>Utility Area</t>
        </is>
      </c>
      <c r="O6" t="inlineStr">
        <is>
          <t>George Jordan</t>
        </is>
      </c>
      <c r="P6" t="inlineStr">
        <is>
          <t>Operational</t>
        </is>
      </c>
      <c r="Q6" t="inlineStr"/>
      <c r="R6" t="inlineStr">
        <is>
          <t>Primary router</t>
        </is>
      </c>
    </row>
    <row r="7">
      <c r="A7" t="inlineStr">
        <is>
          <t>AST-004</t>
        </is>
      </c>
      <c r="B7" t="inlineStr">
        <is>
          <t>CI-004</t>
        </is>
      </c>
      <c r="C7" t="inlineStr">
        <is>
          <t>AT-004</t>
        </is>
      </c>
      <c r="D7" t="inlineStr">
        <is>
          <t>Dell OptiPlex 7060 Micro</t>
        </is>
      </c>
      <c r="E7" t="inlineStr">
        <is>
          <t>Server</t>
        </is>
      </c>
      <c r="F7" t="inlineStr">
        <is>
          <t>Dell</t>
        </is>
      </c>
      <c r="G7" t="inlineStr">
        <is>
          <t>7060 Micro</t>
        </is>
      </c>
      <c r="H7" t="inlineStr"/>
      <c r="I7" t="inlineStr"/>
      <c r="J7" t="inlineStr"/>
      <c r="K7" t="inlineStr">
        <is>
          <t>Best Buy</t>
        </is>
      </c>
      <c r="L7" t="inlineStr"/>
      <c r="M7" t="inlineStr">
        <is>
          <t>None</t>
        </is>
      </c>
      <c r="N7" t="inlineStr">
        <is>
          <t>Office</t>
        </is>
      </c>
      <c r="O7" t="inlineStr">
        <is>
          <t>George Jordan</t>
        </is>
      </c>
      <c r="P7" t="inlineStr">
        <is>
          <t>Planned</t>
        </is>
      </c>
      <c r="Q7" t="inlineStr"/>
      <c r="R7" t="inlineStr">
        <is>
          <t>HA host</t>
        </is>
      </c>
    </row>
    <row r="8">
      <c r="A8" t="inlineStr">
        <is>
          <t>AST-005</t>
        </is>
      </c>
      <c r="B8" t="inlineStr">
        <is>
          <t>CI-005</t>
        </is>
      </c>
      <c r="C8" t="inlineStr">
        <is>
          <t>AT-005</t>
        </is>
      </c>
      <c r="D8" t="inlineStr">
        <is>
          <t>Samsung Galaxy Tab A9+</t>
        </is>
      </c>
      <c r="E8" t="inlineStr">
        <is>
          <t>Endpoint</t>
        </is>
      </c>
      <c r="F8" t="inlineStr">
        <is>
          <t>Samsung</t>
        </is>
      </c>
      <c r="G8" t="inlineStr">
        <is>
          <t>A9+</t>
        </is>
      </c>
      <c r="H8" t="inlineStr"/>
      <c r="I8" t="inlineStr"/>
      <c r="J8" t="inlineStr"/>
      <c r="K8" t="inlineStr">
        <is>
          <t>Retail</t>
        </is>
      </c>
      <c r="L8" t="inlineStr"/>
      <c r="M8" t="inlineStr">
        <is>
          <t>Vendor</t>
        </is>
      </c>
      <c r="N8" t="inlineStr">
        <is>
          <t>Home</t>
        </is>
      </c>
      <c r="O8" t="inlineStr">
        <is>
          <t>George Jordan</t>
        </is>
      </c>
      <c r="P8" t="inlineStr">
        <is>
          <t>Planned</t>
        </is>
      </c>
      <c r="Q8" t="inlineStr"/>
      <c r="R8" t="inlineStr">
        <is>
          <t>Dashboard</t>
        </is>
      </c>
    </row>
    <row r="9">
      <c r="A9" t="inlineStr">
        <is>
          <t>AST-006</t>
        </is>
      </c>
      <c r="B9" t="inlineStr">
        <is>
          <t>CI-007</t>
        </is>
      </c>
      <c r="C9" t="inlineStr">
        <is>
          <t>AT-006</t>
        </is>
      </c>
      <c r="D9" t="inlineStr">
        <is>
          <t>Reolink Doorbell</t>
        </is>
      </c>
      <c r="E9" t="inlineStr">
        <is>
          <t>Security</t>
        </is>
      </c>
      <c r="F9" t="inlineStr">
        <is>
          <t>Reolink</t>
        </is>
      </c>
      <c r="G9" t="inlineStr">
        <is>
          <t>WiFi Doorbell</t>
        </is>
      </c>
      <c r="H9" t="inlineStr"/>
      <c r="I9" t="inlineStr"/>
      <c r="J9" t="inlineStr"/>
      <c r="K9" t="inlineStr">
        <is>
          <t>Reolink</t>
        </is>
      </c>
      <c r="L9" t="inlineStr"/>
      <c r="M9" t="inlineStr">
        <is>
          <t>Vendor</t>
        </is>
      </c>
      <c r="N9" t="inlineStr">
        <is>
          <t>Front Door</t>
        </is>
      </c>
      <c r="O9" t="inlineStr">
        <is>
          <t>George Jordan</t>
        </is>
      </c>
      <c r="P9" t="inlineStr">
        <is>
          <t>Planned</t>
        </is>
      </c>
      <c r="Q9" t="inlineStr"/>
      <c r="R9" t="inlineStr"/>
    </row>
    <row r="10">
      <c r="A10" t="inlineStr">
        <is>
          <t>AST-007</t>
        </is>
      </c>
      <c r="B10" t="inlineStr">
        <is>
          <t>CI-008</t>
        </is>
      </c>
      <c r="C10" t="inlineStr">
        <is>
          <t>AT-007</t>
        </is>
      </c>
      <c r="D10" t="inlineStr">
        <is>
          <t>Reolink E1 Outdoor Pro</t>
        </is>
      </c>
      <c r="E10" t="inlineStr">
        <is>
          <t>Security</t>
        </is>
      </c>
      <c r="F10" t="inlineStr">
        <is>
          <t>Reolink</t>
        </is>
      </c>
      <c r="G10" t="inlineStr">
        <is>
          <t>E1 Outdoor Pro</t>
        </is>
      </c>
      <c r="H10" t="inlineStr"/>
      <c r="I10" t="inlineStr"/>
      <c r="J10" t="inlineStr"/>
      <c r="K10" t="inlineStr">
        <is>
          <t>Reolink</t>
        </is>
      </c>
      <c r="L10" t="inlineStr"/>
      <c r="M10" t="inlineStr">
        <is>
          <t>Vendor</t>
        </is>
      </c>
      <c r="N10" t="inlineStr">
        <is>
          <t>Exterior</t>
        </is>
      </c>
      <c r="O10" t="inlineStr">
        <is>
          <t>George Jordan</t>
        </is>
      </c>
      <c r="P10" t="inlineStr">
        <is>
          <t>Planned</t>
        </is>
      </c>
      <c r="Q10" t="inlineStr"/>
      <c r="R10" t="inlineStr"/>
    </row>
    <row r="11">
      <c r="A11" t="inlineStr">
        <is>
          <t>AST-008</t>
        </is>
      </c>
      <c r="B11" t="inlineStr">
        <is>
          <t>CI-009</t>
        </is>
      </c>
      <c r="C11" t="inlineStr">
        <is>
          <t>AT-008</t>
        </is>
      </c>
      <c r="D11" t="inlineStr">
        <is>
          <t>SONOFF Door Sensors</t>
        </is>
      </c>
      <c r="E11" t="inlineStr">
        <is>
          <t>IoT</t>
        </is>
      </c>
      <c r="F11" t="inlineStr">
        <is>
          <t>SONOFF</t>
        </is>
      </c>
      <c r="G11" t="inlineStr">
        <is>
          <t>SNZB-04PR2</t>
        </is>
      </c>
      <c r="H11" t="inlineStr"/>
      <c r="I11" t="inlineStr"/>
      <c r="J11" t="inlineStr"/>
      <c r="K11" t="inlineStr">
        <is>
          <t>SONOFF</t>
        </is>
      </c>
      <c r="L11" t="inlineStr"/>
      <c r="M11" t="inlineStr">
        <is>
          <t>Vendor</t>
        </is>
      </c>
      <c r="N11" t="inlineStr">
        <is>
          <t>Home</t>
        </is>
      </c>
      <c r="O11" t="inlineStr">
        <is>
          <t>George Jordan</t>
        </is>
      </c>
      <c r="P11" t="inlineStr">
        <is>
          <t>Planned</t>
        </is>
      </c>
      <c r="Q11" t="inlineStr"/>
      <c r="R11" t="inlineStr"/>
    </row>
    <row r="12">
      <c r="A12" t="inlineStr">
        <is>
          <t>AST-009</t>
        </is>
      </c>
      <c r="B12" t="inlineStr">
        <is>
          <t>CI-010</t>
        </is>
      </c>
      <c r="C12" t="inlineStr">
        <is>
          <t>AT-009</t>
        </is>
      </c>
      <c r="D12" t="inlineStr">
        <is>
          <t>SONOFF Motion Sensor</t>
        </is>
      </c>
      <c r="E12" t="inlineStr">
        <is>
          <t>IoT</t>
        </is>
      </c>
      <c r="F12" t="inlineStr">
        <is>
          <t>SONOFF</t>
        </is>
      </c>
      <c r="G12" t="inlineStr">
        <is>
          <t>SNZB-03P</t>
        </is>
      </c>
      <c r="H12" t="inlineStr"/>
      <c r="I12" t="inlineStr"/>
      <c r="J12" t="inlineStr"/>
      <c r="K12" t="inlineStr">
        <is>
          <t>SONOFF</t>
        </is>
      </c>
      <c r="L12" t="inlineStr"/>
      <c r="M12" t="inlineStr">
        <is>
          <t>Vendor</t>
        </is>
      </c>
      <c r="N12" t="inlineStr">
        <is>
          <t>Home</t>
        </is>
      </c>
      <c r="O12" t="inlineStr">
        <is>
          <t>George Jordan</t>
        </is>
      </c>
      <c r="P12" t="inlineStr">
        <is>
          <t>Planned</t>
        </is>
      </c>
      <c r="Q12" t="inlineStr"/>
      <c r="R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Vendors</t>
        </is>
      </c>
    </row>
    <row r="2">
      <c r="A2" t="inlineStr">
        <is>
          <t>Vendor</t>
        </is>
      </c>
      <c r="B2" t="inlineStr">
        <is>
          <t>Category</t>
        </is>
      </c>
      <c r="C2" t="inlineStr">
        <is>
          <t>Support</t>
        </is>
      </c>
      <c r="D2" t="inlineStr">
        <is>
          <t>Notes</t>
        </is>
      </c>
    </row>
    <row r="3">
      <c r="A3" t="inlineStr">
        <is>
          <t>Verizon</t>
        </is>
      </c>
      <c r="B3" t="inlineStr">
        <is>
          <t>ISP</t>
        </is>
      </c>
      <c r="C3" t="inlineStr">
        <is>
          <t>Managed</t>
        </is>
      </c>
      <c r="D3" t="inlineStr"/>
    </row>
    <row r="4">
      <c r="A4" t="inlineStr">
        <is>
          <t>GL.iNet</t>
        </is>
      </c>
      <c r="B4" t="inlineStr">
        <is>
          <t>Network</t>
        </is>
      </c>
      <c r="C4" t="inlineStr">
        <is>
          <t>Community</t>
        </is>
      </c>
      <c r="D4" t="inlineStr"/>
    </row>
    <row r="5">
      <c r="A5" t="inlineStr">
        <is>
          <t>Dell</t>
        </is>
      </c>
      <c r="B5" t="inlineStr">
        <is>
          <t>Hardware</t>
        </is>
      </c>
      <c r="C5" t="inlineStr">
        <is>
          <t>Self</t>
        </is>
      </c>
      <c r="D5" t="inlineStr"/>
    </row>
    <row r="6">
      <c r="A6" t="inlineStr">
        <is>
          <t>Samsung</t>
        </is>
      </c>
      <c r="B6" t="inlineStr">
        <is>
          <t>Hardware</t>
        </is>
      </c>
      <c r="C6" t="inlineStr">
        <is>
          <t>Vendor</t>
        </is>
      </c>
      <c r="D6" t="inlineStr"/>
    </row>
    <row r="7">
      <c r="A7" t="inlineStr">
        <is>
          <t>Reolink</t>
        </is>
      </c>
      <c r="B7" t="inlineStr">
        <is>
          <t>Security</t>
        </is>
      </c>
      <c r="C7" t="inlineStr">
        <is>
          <t>Vendor</t>
        </is>
      </c>
      <c r="D7" t="inlineStr"/>
    </row>
    <row r="8">
      <c r="A8" t="inlineStr">
        <is>
          <t>SONOFF</t>
        </is>
      </c>
      <c r="B8" t="inlineStr">
        <is>
          <t>IoT</t>
        </is>
      </c>
      <c r="C8" t="inlineStr">
        <is>
          <t>Vendor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Warranty and Support</t>
        </is>
      </c>
    </row>
    <row r="2">
      <c r="A2" t="inlineStr">
        <is>
          <t>Asset ID</t>
        </is>
      </c>
      <c r="B2" t="inlineStr">
        <is>
          <t>Asset</t>
        </is>
      </c>
      <c r="C2" t="inlineStr">
        <is>
          <t>Warranty Expiration</t>
        </is>
      </c>
      <c r="D2" t="inlineStr">
        <is>
          <t>Support</t>
        </is>
      </c>
      <c r="E2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Procurement</t>
        </is>
      </c>
    </row>
    <row r="2">
      <c r="A2" t="inlineStr">
        <is>
          <t>Asset ID</t>
        </is>
      </c>
      <c r="B2" t="inlineStr">
        <is>
          <t>Vendor</t>
        </is>
      </c>
      <c r="C2" t="inlineStr">
        <is>
          <t>Purchase Date</t>
        </is>
      </c>
      <c r="D2" t="inlineStr">
        <is>
          <t>Cost</t>
        </is>
      </c>
      <c r="E2" t="inlineStr">
        <is>
          <t>PO/Receipt</t>
        </is>
      </c>
      <c r="F2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Disposal</t>
        </is>
      </c>
    </row>
    <row r="2">
      <c r="A2" t="inlineStr">
        <is>
          <t>Asset ID</t>
        </is>
      </c>
      <c r="B2" t="inlineStr">
        <is>
          <t>Retirement Date</t>
        </is>
      </c>
      <c r="C2" t="inlineStr">
        <is>
          <t>Method</t>
        </is>
      </c>
      <c r="D2" t="inlineStr">
        <is>
          <t>Approved By</t>
        </is>
      </c>
      <c r="E2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3">
      <c r="A3" t="inlineStr">
        <is>
          <t>Categories</t>
        </is>
      </c>
    </row>
    <row r="4">
      <c r="A4" t="inlineStr">
        <is>
          <t>Network</t>
        </is>
      </c>
    </row>
    <row r="5">
      <c r="A5" t="inlineStr">
        <is>
          <t>Server</t>
        </is>
      </c>
    </row>
    <row r="6">
      <c r="A6" t="inlineStr">
        <is>
          <t>Endpoint</t>
        </is>
      </c>
    </row>
    <row r="7">
      <c r="A7" t="inlineStr">
        <is>
          <t>Security</t>
        </is>
      </c>
    </row>
    <row r="8">
      <c r="A8" t="inlineStr">
        <is>
          <t>IoT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  <c r="D3" t="inlineStr">
        <is>
          <t>Category</t>
        </is>
      </c>
      <c r="E3" t="inlineStr">
        <is>
          <t>Count</t>
        </is>
      </c>
    </row>
    <row r="4">
      <c r="A4" t="inlineStr">
        <is>
          <t>Total Assets</t>
        </is>
      </c>
      <c r="B4">
        <f>COUNTA('01_Asset_Register'!A4:A1000)</f>
        <v/>
      </c>
      <c r="D4" t="inlineStr">
        <is>
          <t>Network</t>
        </is>
      </c>
      <c r="E4">
        <f>COUNTIF('01_Asset_Register'!E4:E1000,"Network")</f>
        <v/>
      </c>
    </row>
    <row r="5">
      <c r="A5" t="inlineStr">
        <is>
          <t>Operational</t>
        </is>
      </c>
      <c r="B5">
        <f>COUNTIF('01_Asset_Register'!P4:P1000,"Operational")</f>
        <v/>
      </c>
      <c r="D5" t="inlineStr">
        <is>
          <t>Server</t>
        </is>
      </c>
      <c r="E5">
        <f>COUNTIF('01_Asset_Register'!E4:E1000,"Server")</f>
        <v/>
      </c>
    </row>
    <row r="6">
      <c r="A6" t="inlineStr">
        <is>
          <t>Planned</t>
        </is>
      </c>
      <c r="B6">
        <f>COUNTIF('01_Asset_Register'!P4:P1000,"Planned")</f>
        <v/>
      </c>
      <c r="D6" t="inlineStr">
        <is>
          <t>Endpoint</t>
        </is>
      </c>
      <c r="E6">
        <f>COUNTIF('01_Asset_Register'!E4:E1000,"Endpoint")</f>
        <v/>
      </c>
    </row>
    <row r="7">
      <c r="D7" t="inlineStr">
        <is>
          <t>Security</t>
        </is>
      </c>
      <c r="E7">
        <f>COUNTIF('01_Asset_Register'!E4:E1000,"Security")</f>
        <v/>
      </c>
    </row>
    <row r="8">
      <c r="D8" t="inlineStr">
        <is>
          <t>IoT</t>
        </is>
      </c>
      <c r="E8">
        <f>COUNTIF('01_Asset_Register'!E4:E1000,"IoT")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2026-07-30T21:05:37Z</dcterms:created>
  <dcterms:modified xmlns:dcterms="http://purl.org/dc/terms/" xmlns:xsi="http://www.w3.org/2001/XMLSchema-instance" xsi:type="dcterms:W3CDTF">2026-07-30T21:05:37Z</dcterms:modified>
</cp:coreProperties>
</file>